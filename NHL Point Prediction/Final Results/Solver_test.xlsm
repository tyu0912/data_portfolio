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u\Google_Drive\DATA_PROJECTS\NHL 2.0\Final Results\"/>
    </mc:Choice>
  </mc:AlternateContent>
  <xr:revisionPtr revIDLastSave="0" documentId="13_ncr:1_{3E74CFF1-046E-486A-B78A-CEE33A47FE67}" xr6:coauthVersionLast="28" xr6:coauthVersionMax="28" xr10:uidLastSave="{00000000-0000-0000-0000-000000000000}"/>
  <bookViews>
    <workbookView xWindow="0" yWindow="0" windowWidth="14370" windowHeight="1800" xr2:uid="{00000000-000D-0000-FFFF-FFFF00000000}"/>
  </bookViews>
  <sheets>
    <sheet name="Sheet1" sheetId="1" r:id="rId1"/>
  </sheets>
  <definedNames>
    <definedName name="_xlnm._FilterDatabase" localSheetId="0" hidden="1">Sheet1!$A$5:$E$5</definedName>
    <definedName name="solver_adj" localSheetId="0" hidden="1">Sheet1!$F$6:$F$54,Sheet1!$P$6:$P$55,Sheet1!$Y$6:$Y$51,Sheet1!$AH$6:$AH$55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Sheet1!$F$6:$F$54</definedName>
    <definedName name="solver_lhs10" localSheetId="0" hidden="1">Sheet1!$Z$3</definedName>
    <definedName name="solver_lhs11" localSheetId="0" hidden="1">Sheet1!$Z$3</definedName>
    <definedName name="solver_lhs12" localSheetId="0" hidden="1">Sheet1!$Z$3</definedName>
    <definedName name="solver_lhs13" localSheetId="0" hidden="1">Sheet1!$Z$3</definedName>
    <definedName name="solver_lhs14" localSheetId="0" hidden="1">Sheet1!$Z$3</definedName>
    <definedName name="solver_lhs2" localSheetId="0" hidden="1">Sheet1!$G$3</definedName>
    <definedName name="solver_lhs3" localSheetId="0" hidden="1">Sheet1!$G$3</definedName>
    <definedName name="solver_lhs4" localSheetId="0" hidden="1">Sheet1!$M$1</definedName>
    <definedName name="solver_lhs5" localSheetId="0" hidden="1">Sheet1!$P$6:$P$55</definedName>
    <definedName name="solver_lhs6" localSheetId="0" hidden="1">Sheet1!$Q$3</definedName>
    <definedName name="solver_lhs7" localSheetId="0" hidden="1">Sheet1!$Q$3</definedName>
    <definedName name="solver_lhs8" localSheetId="0" hidden="1">Sheet1!$R$1</definedName>
    <definedName name="solver_lhs9" localSheetId="0" hidden="1">Sheet1!$Y$6:$Y$51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11</definedName>
    <definedName name="solver_nwt" localSheetId="0" hidden="1">1</definedName>
    <definedName name="solver_opt" localSheetId="0" hidden="1">Sheet1!$P$1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10" localSheetId="0" hidden="1">1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2" localSheetId="0" hidden="1">1</definedName>
    <definedName name="solver_rel3" localSheetId="0" hidden="1">3</definedName>
    <definedName name="solver_rel4" localSheetId="0" hidden="1">1</definedName>
    <definedName name="solver_rel5" localSheetId="0" hidden="1">5</definedName>
    <definedName name="solver_rel6" localSheetId="0" hidden="1">1</definedName>
    <definedName name="solver_rel7" localSheetId="0" hidden="1">3</definedName>
    <definedName name="solver_rel8" localSheetId="0" hidden="1">2</definedName>
    <definedName name="solver_rel9" localSheetId="0" hidden="1">5</definedName>
    <definedName name="solver_rhs1" localSheetId="0" hidden="1">binary</definedName>
    <definedName name="solver_rhs10" localSheetId="0" hidden="1">2</definedName>
    <definedName name="solver_rhs11" localSheetId="0" hidden="1">1</definedName>
    <definedName name="solver_rhs12" localSheetId="0" hidden="1">1</definedName>
    <definedName name="solver_rhs13" localSheetId="0" hidden="1">1</definedName>
    <definedName name="solver_rhs14" localSheetId="0" hidden="1">2</definedName>
    <definedName name="solver_rhs2" localSheetId="0" hidden="1">2</definedName>
    <definedName name="solver_rhs3" localSheetId="0" hidden="1">1</definedName>
    <definedName name="solver_rhs4" localSheetId="0" hidden="1">14400</definedName>
    <definedName name="solver_rhs5" localSheetId="0" hidden="1">binary</definedName>
    <definedName name="solver_rhs6" localSheetId="0" hidden="1">2</definedName>
    <definedName name="solver_rhs7" localSheetId="0" hidden="1">1</definedName>
    <definedName name="solver_rhs8" localSheetId="0" hidden="1">4</definedName>
    <definedName name="solver_rhs9" localSheetId="0" hidden="1">binary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AE29" i="1"/>
  <c r="AF23" i="1"/>
  <c r="AF26" i="1"/>
  <c r="AF19" i="1"/>
  <c r="AE19" i="1"/>
  <c r="Z54" i="1"/>
  <c r="AA54" i="1"/>
  <c r="G55" i="1" l="1"/>
  <c r="H55" i="1"/>
  <c r="Z53" i="1"/>
  <c r="AA53" i="1"/>
  <c r="Z52" i="1" l="1"/>
  <c r="AA52" i="1"/>
  <c r="AL17" i="1" l="1"/>
  <c r="AL16" i="1"/>
  <c r="AL13" i="1" a="1"/>
  <c r="AL13" i="1" s="1"/>
  <c r="AL10" i="1" a="1"/>
  <c r="AL10" i="1" s="1"/>
  <c r="AL6" i="1" a="1"/>
  <c r="AL6" i="1" s="1"/>
  <c r="AL3" i="1" a="1"/>
  <c r="AL3" i="1" s="1"/>
  <c r="AL2" i="1"/>
  <c r="AI3" i="1"/>
  <c r="AL5" i="1" s="1"/>
  <c r="Z3" i="1"/>
  <c r="AL15" i="1" s="1"/>
  <c r="Q3" i="1"/>
  <c r="AL12" i="1" s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J6" i="1"/>
  <c r="AI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Z33" i="1"/>
  <c r="AA33" i="1"/>
  <c r="Z34" i="1"/>
  <c r="AA34" i="1"/>
  <c r="Z35" i="1"/>
  <c r="AA35" i="1"/>
  <c r="Z36" i="1"/>
  <c r="AA36" i="1"/>
  <c r="Z37" i="1"/>
  <c r="AA37" i="1"/>
  <c r="Z38" i="1"/>
  <c r="AA38" i="1"/>
  <c r="Z39" i="1"/>
  <c r="AA39" i="1"/>
  <c r="Z40" i="1"/>
  <c r="AA40" i="1"/>
  <c r="Z41" i="1"/>
  <c r="AA41" i="1"/>
  <c r="Z42" i="1"/>
  <c r="AA42" i="1"/>
  <c r="Z43" i="1"/>
  <c r="AA43" i="1"/>
  <c r="Z44" i="1"/>
  <c r="AA44" i="1"/>
  <c r="Z45" i="1"/>
  <c r="AA45" i="1"/>
  <c r="Z46" i="1"/>
  <c r="AA46" i="1"/>
  <c r="Z47" i="1"/>
  <c r="AA47" i="1"/>
  <c r="Z48" i="1"/>
  <c r="AA48" i="1"/>
  <c r="Z49" i="1"/>
  <c r="AA49" i="1"/>
  <c r="Z50" i="1"/>
  <c r="AA50" i="1"/>
  <c r="Z51" i="1"/>
  <c r="AA51" i="1"/>
  <c r="AA6" i="1"/>
  <c r="Z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R6" i="1"/>
  <c r="Q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6" i="1"/>
  <c r="H6" i="1"/>
  <c r="G3" i="1"/>
  <c r="AL8" i="1" s="1"/>
  <c r="R1" i="1" l="1"/>
  <c r="AL14" i="1"/>
  <c r="AL7" i="1"/>
  <c r="AL11" i="1"/>
  <c r="AL4" i="1"/>
  <c r="E3" i="1"/>
  <c r="X3" i="1"/>
  <c r="AG3" i="1"/>
  <c r="C3" i="1"/>
  <c r="AE3" i="1"/>
  <c r="V3" i="1"/>
  <c r="M3" i="1"/>
  <c r="O3" i="1"/>
  <c r="AM15" i="1"/>
  <c r="AN15" i="1"/>
  <c r="AO15" i="1"/>
  <c r="AP15" i="1"/>
  <c r="AM16" i="1"/>
  <c r="AR13" i="1" s="1"/>
  <c r="AN16" i="1"/>
  <c r="AO16" i="1"/>
  <c r="AP16" i="1"/>
  <c r="AM17" i="1"/>
  <c r="AN17" i="1"/>
  <c r="AR14" i="1" s="1"/>
  <c r="AO17" i="1"/>
  <c r="AP17" i="1"/>
  <c r="AM18" i="1"/>
  <c r="AN18" i="1"/>
  <c r="AO18" i="1"/>
  <c r="AR15" i="1" s="1"/>
  <c r="AP18" i="1"/>
  <c r="AM19" i="1"/>
  <c r="AN19" i="1"/>
  <c r="AO19" i="1"/>
  <c r="AP19" i="1"/>
  <c r="AR16" i="1" s="1"/>
  <c r="AM20" i="1"/>
  <c r="AN20" i="1"/>
  <c r="AO20" i="1"/>
  <c r="AP20" i="1"/>
  <c r="AM21" i="1"/>
  <c r="AR17" i="1" s="1"/>
  <c r="AN21" i="1"/>
  <c r="AO21" i="1"/>
  <c r="AP21" i="1"/>
  <c r="AM22" i="1"/>
  <c r="AN22" i="1"/>
  <c r="AR18" i="1" s="1"/>
  <c r="AO22" i="1"/>
  <c r="AP22" i="1"/>
  <c r="AM23" i="1"/>
  <c r="AN23" i="1"/>
  <c r="AO23" i="1"/>
  <c r="AR19" i="1" s="1"/>
  <c r="AP23" i="1"/>
  <c r="AM24" i="1"/>
  <c r="AN24" i="1"/>
  <c r="AO24" i="1"/>
  <c r="AP24" i="1"/>
  <c r="AR20" i="1" s="1"/>
  <c r="AM25" i="1"/>
  <c r="AN25" i="1"/>
  <c r="AO25" i="1"/>
  <c r="AP25" i="1"/>
  <c r="AM26" i="1"/>
  <c r="AR21" i="1" s="1"/>
  <c r="AN26" i="1"/>
  <c r="AO26" i="1"/>
  <c r="AP26" i="1"/>
  <c r="AM27" i="1"/>
  <c r="AN27" i="1"/>
  <c r="AR22" i="1" s="1"/>
  <c r="AO27" i="1"/>
  <c r="AP27" i="1"/>
  <c r="AM28" i="1"/>
  <c r="AN28" i="1"/>
  <c r="AO28" i="1"/>
  <c r="AR23" i="1" s="1"/>
  <c r="AP28" i="1"/>
  <c r="AM29" i="1"/>
  <c r="AN29" i="1"/>
  <c r="AO29" i="1"/>
  <c r="AP29" i="1"/>
  <c r="AR24" i="1" s="1"/>
  <c r="AM30" i="1"/>
  <c r="AN30" i="1"/>
  <c r="AO30" i="1"/>
  <c r="AP30" i="1"/>
  <c r="AM31" i="1"/>
  <c r="AR25" i="1" s="1"/>
  <c r="AN31" i="1"/>
  <c r="AO31" i="1"/>
  <c r="AP31" i="1"/>
  <c r="AM32" i="1"/>
  <c r="AN32" i="1"/>
  <c r="AR26" i="1" s="1"/>
  <c r="AO32" i="1"/>
  <c r="AP32" i="1"/>
  <c r="AM33" i="1"/>
  <c r="AN33" i="1"/>
  <c r="AO33" i="1"/>
  <c r="AR27" i="1" s="1"/>
  <c r="AP33" i="1"/>
  <c r="AM34" i="1"/>
  <c r="AN34" i="1"/>
  <c r="AO34" i="1"/>
  <c r="AP34" i="1"/>
  <c r="AR28" i="1" s="1"/>
  <c r="AM35" i="1"/>
  <c r="AN35" i="1"/>
  <c r="AO35" i="1"/>
  <c r="AP35" i="1"/>
  <c r="AM36" i="1"/>
  <c r="AR29" i="1" s="1"/>
  <c r="AN36" i="1"/>
  <c r="AO36" i="1"/>
  <c r="AP36" i="1"/>
  <c r="AM37" i="1"/>
  <c r="AN37" i="1"/>
  <c r="AO37" i="1"/>
  <c r="AP37" i="1"/>
  <c r="AM38" i="1"/>
  <c r="AN38" i="1"/>
  <c r="AO38" i="1"/>
  <c r="AP38" i="1"/>
  <c r="AM39" i="1"/>
  <c r="AN39" i="1"/>
  <c r="AO39" i="1"/>
  <c r="AP39" i="1"/>
  <c r="AM40" i="1"/>
  <c r="AN40" i="1"/>
  <c r="AO40" i="1"/>
  <c r="AP40" i="1"/>
  <c r="AM41" i="1"/>
  <c r="AN41" i="1"/>
  <c r="AO41" i="1"/>
  <c r="AP41" i="1"/>
  <c r="AM42" i="1"/>
  <c r="AN42" i="1"/>
  <c r="AO42" i="1"/>
  <c r="AP42" i="1"/>
  <c r="AM43" i="1"/>
  <c r="AN43" i="1"/>
  <c r="AO43" i="1"/>
  <c r="AP43" i="1"/>
  <c r="AM44" i="1"/>
  <c r="AN44" i="1"/>
  <c r="AO44" i="1"/>
  <c r="AP44" i="1"/>
  <c r="AM45" i="1"/>
  <c r="AN45" i="1"/>
  <c r="AO45" i="1"/>
  <c r="AP45" i="1"/>
  <c r="AM46" i="1"/>
  <c r="AN46" i="1"/>
  <c r="AO46" i="1"/>
  <c r="AP46" i="1"/>
  <c r="AM47" i="1"/>
  <c r="AN47" i="1"/>
  <c r="AO47" i="1"/>
  <c r="AP47" i="1"/>
  <c r="AM48" i="1"/>
  <c r="AN48" i="1"/>
  <c r="AO48" i="1"/>
  <c r="AP48" i="1"/>
  <c r="AM49" i="1"/>
  <c r="AN49" i="1"/>
  <c r="AO49" i="1"/>
  <c r="AP49" i="1"/>
  <c r="AM50" i="1"/>
  <c r="AN50" i="1"/>
  <c r="AO50" i="1"/>
  <c r="AP50" i="1"/>
  <c r="AP14" i="1"/>
  <c r="AR12" i="1" s="1"/>
  <c r="AP13" i="1"/>
  <c r="AP12" i="1"/>
  <c r="AP11" i="1"/>
  <c r="AP10" i="1"/>
  <c r="AP9" i="1"/>
  <c r="AR8" i="1" s="1"/>
  <c r="AP8" i="1"/>
  <c r="AP7" i="1"/>
  <c r="AP6" i="1"/>
  <c r="AO14" i="1"/>
  <c r="AO13" i="1"/>
  <c r="AR11" i="1" s="1"/>
  <c r="AO12" i="1"/>
  <c r="AO11" i="1"/>
  <c r="AO10" i="1"/>
  <c r="AO9" i="1"/>
  <c r="AO8" i="1"/>
  <c r="AO7" i="1"/>
  <c r="AO6" i="1"/>
  <c r="AN14" i="1"/>
  <c r="AN13" i="1"/>
  <c r="AN12" i="1"/>
  <c r="AR10" i="1" s="1"/>
  <c r="AN11" i="1"/>
  <c r="AN10" i="1"/>
  <c r="AN9" i="1"/>
  <c r="AN8" i="1"/>
  <c r="AN7" i="1"/>
  <c r="AN6" i="1"/>
  <c r="AM7" i="1"/>
  <c r="AM8" i="1"/>
  <c r="AM9" i="1"/>
  <c r="AM10" i="1"/>
  <c r="AM11" i="1"/>
  <c r="AR9" i="1" s="1"/>
  <c r="AM12" i="1"/>
  <c r="AM13" i="1"/>
  <c r="AM14" i="1"/>
  <c r="AM6" i="1"/>
  <c r="M1" i="1" l="1"/>
  <c r="AL9" i="1" s="1"/>
  <c r="P1" i="1"/>
  <c r="AL1" i="1" s="1"/>
</calcChain>
</file>

<file path=xl/sharedStrings.xml><?xml version="1.0" encoding="utf-8"?>
<sst xmlns="http://schemas.openxmlformats.org/spreadsheetml/2006/main" count="193" uniqueCount="163">
  <si>
    <t>Pick</t>
  </si>
  <si>
    <t>Total Cost:</t>
  </si>
  <si>
    <t>Total PT:</t>
  </si>
  <si>
    <t>index</t>
  </si>
  <si>
    <t>playerName</t>
  </si>
  <si>
    <t>DK_Value</t>
  </si>
  <si>
    <t>Patrick Marleau</t>
  </si>
  <si>
    <t>Justin Williams</t>
  </si>
  <si>
    <t>Dustin Brown</t>
  </si>
  <si>
    <t>T.J. Oshie</t>
  </si>
  <si>
    <t>Alex Killorn</t>
  </si>
  <si>
    <t>James van Riemsdyk</t>
  </si>
  <si>
    <t>Chris Kreider</t>
  </si>
  <si>
    <t>Anders Lee</t>
  </si>
  <si>
    <t>Tyler Toffoli</t>
  </si>
  <si>
    <t>Ondrej Palat</t>
  </si>
  <si>
    <t>Nikita Kucherov</t>
  </si>
  <si>
    <t>J.T. Miller</t>
  </si>
  <si>
    <t>Vladislav Namestnikov</t>
  </si>
  <si>
    <t>Rickard Rakell</t>
  </si>
  <si>
    <t>Yanni Gourde</t>
  </si>
  <si>
    <t>Tanner Pearson</t>
  </si>
  <si>
    <t>Teuvo Teravainen</t>
  </si>
  <si>
    <t>Pavel Buchnevich</t>
  </si>
  <si>
    <t>Valentin Zykov</t>
  </si>
  <si>
    <t>Elias Lindholm</t>
  </si>
  <si>
    <t>William Nylander</t>
  </si>
  <si>
    <t>Ondrej Kase</t>
  </si>
  <si>
    <t>Sebastian Aho</t>
  </si>
  <si>
    <t>Tomas Plekanec</t>
  </si>
  <si>
    <t>Jeff Carter</t>
  </si>
  <si>
    <t>Lars Eller</t>
  </si>
  <si>
    <t>Jay Beagle</t>
  </si>
  <si>
    <t>Derek Grant</t>
  </si>
  <si>
    <t>Tyler Johnson</t>
  </si>
  <si>
    <t>Nazem Kadri</t>
  </si>
  <si>
    <t>Ryan Spooner</t>
  </si>
  <si>
    <t>Evgeny Kuznetsov</t>
  </si>
  <si>
    <t>Brock Nelson</t>
  </si>
  <si>
    <t>Kevin Hayes</t>
  </si>
  <si>
    <t>Mika Zibanejad</t>
  </si>
  <si>
    <t>Cedric Paquette</t>
  </si>
  <si>
    <t>Brayden Point</t>
  </si>
  <si>
    <t>Mathew Barzal</t>
  </si>
  <si>
    <t>Derek Ryan</t>
  </si>
  <si>
    <t>Auston Matthews</t>
  </si>
  <si>
    <t>Ron Hainsey</t>
  </si>
  <si>
    <t>Dion Phaneuf</t>
  </si>
  <si>
    <t>Matt Niskanen</t>
  </si>
  <si>
    <t>Anton Stralman</t>
  </si>
  <si>
    <t>Dan Girardi</t>
  </si>
  <si>
    <t>Ryan McDonagh</t>
  </si>
  <si>
    <t>Alec Martinez</t>
  </si>
  <si>
    <t>Jake Gardiner</t>
  </si>
  <si>
    <t>John Carlson</t>
  </si>
  <si>
    <t>Victor Hedman</t>
  </si>
  <si>
    <t>Dmitry Orlov</t>
  </si>
  <si>
    <t>Cam Fowler</t>
  </si>
  <si>
    <t>Hampus Lindholm</t>
  </si>
  <si>
    <t>Brady Skjei</t>
  </si>
  <si>
    <t>Jaccob Slavin</t>
  </si>
  <si>
    <t>Noah Hanifin</t>
  </si>
  <si>
    <t>Mikhail Sergachev</t>
  </si>
  <si>
    <t>Nikita Zaitsev</t>
  </si>
  <si>
    <t>Braden Holtby</t>
  </si>
  <si>
    <t>Frederik Andersen</t>
  </si>
  <si>
    <t>John Gibson</t>
  </si>
  <si>
    <t>Pick*Value</t>
  </si>
  <si>
    <t>Pick*Cost</t>
  </si>
  <si>
    <t>Total Value</t>
  </si>
  <si>
    <t>Total Cost</t>
  </si>
  <si>
    <t>Total Pick</t>
  </si>
  <si>
    <t>Patrick Kane</t>
  </si>
  <si>
    <t>Jaden Schwartz</t>
  </si>
  <si>
    <t>Mikko Rantanen</t>
  </si>
  <si>
    <t>Jordan Eberle</t>
  </si>
  <si>
    <t>Alexander Kerfoot</t>
  </si>
  <si>
    <t>Trevor Lewis</t>
  </si>
  <si>
    <t>Tom Wilson</t>
  </si>
  <si>
    <t>Alex Tuch</t>
  </si>
  <si>
    <t>Zach Hyman</t>
  </si>
  <si>
    <t>Tobias Rieder</t>
  </si>
  <si>
    <t>Patrik Berglund</t>
  </si>
  <si>
    <t>Jakob Silfverberg</t>
  </si>
  <si>
    <t>Brandon Saad</t>
  </si>
  <si>
    <t>Dmitrij Jaskin</t>
  </si>
  <si>
    <t>William Karlsson</t>
  </si>
  <si>
    <t>Brayden Schenn</t>
  </si>
  <si>
    <t>Adam Henrique</t>
  </si>
  <si>
    <t>Erik Haula</t>
  </si>
  <si>
    <t>Carl Soderberg</t>
  </si>
  <si>
    <t>Nick Schmaltz</t>
  </si>
  <si>
    <t>Artem Anisimov</t>
  </si>
  <si>
    <t>J.T. Compher</t>
  </si>
  <si>
    <t>Vladimir Sobotka</t>
  </si>
  <si>
    <t>Pierre-Edouard Bellemare</t>
  </si>
  <si>
    <t>Cody Eakin</t>
  </si>
  <si>
    <t>Torrey Mitchell</t>
  </si>
  <si>
    <t>Kyle Brodziak</t>
  </si>
  <si>
    <t>Adrian Kempe</t>
  </si>
  <si>
    <t>David Kampf</t>
  </si>
  <si>
    <t>Oskar Sundqvist</t>
  </si>
  <si>
    <t>Filip Chytil</t>
  </si>
  <si>
    <t>Tyson Barrie</t>
  </si>
  <si>
    <t>Neal Pionk</t>
  </si>
  <si>
    <t>Colin Miller</t>
  </si>
  <si>
    <t>Erik Johnson</t>
  </si>
  <si>
    <t>Colton Parayko</t>
  </si>
  <si>
    <t>Jordan Oesterle</t>
  </si>
  <si>
    <t>Joel Edmundson</t>
  </si>
  <si>
    <t>Ryan Pulock</t>
  </si>
  <si>
    <t>John Gilmour</t>
  </si>
  <si>
    <t>Michal Kempny</t>
  </si>
  <si>
    <t>Erik Gustafsson</t>
  </si>
  <si>
    <t>Shea Theodore</t>
  </si>
  <si>
    <t>Vince Dunn</t>
  </si>
  <si>
    <t>Travis Dermott</t>
  </si>
  <si>
    <t>Brandon Davidson</t>
  </si>
  <si>
    <t>Brayden McNabb</t>
  </si>
  <si>
    <t>Christian Folin</t>
  </si>
  <si>
    <t>Thomas Hickey</t>
  </si>
  <si>
    <t>Adam Pelech</t>
  </si>
  <si>
    <t>Nate Schmidt</t>
  </si>
  <si>
    <t>Semyon Varlamov</t>
  </si>
  <si>
    <t>Jake Allen</t>
  </si>
  <si>
    <t>Alex Ovechkin</t>
  </si>
  <si>
    <t>Vladimir Tarasenko</t>
  </si>
  <si>
    <t>Jonathan Marchessault</t>
  </si>
  <si>
    <t>Mats Zuccarello</t>
  </si>
  <si>
    <t>Alexander Steen</t>
  </si>
  <si>
    <t>Gabriel Landeskog</t>
  </si>
  <si>
    <t>James Neal</t>
  </si>
  <si>
    <t>Jeff Skinner</t>
  </si>
  <si>
    <t>Mitchell Marner</t>
  </si>
  <si>
    <t>Alex DeBrincat</t>
  </si>
  <si>
    <t>Corey Perry</t>
  </si>
  <si>
    <t>Nathan MacKinnon</t>
  </si>
  <si>
    <t>Steven Stamkos</t>
  </si>
  <si>
    <t>Ryan Getzlaf</t>
  </si>
  <si>
    <t>Anze Kopitar</t>
  </si>
  <si>
    <t>Nicklas Backstrom</t>
  </si>
  <si>
    <t>John Tavares</t>
  </si>
  <si>
    <t>Tyler Bozak</t>
  </si>
  <si>
    <t>Jordan Staal</t>
  </si>
  <si>
    <t>Ryan Kesler</t>
  </si>
  <si>
    <t>Alex Pietrangelo</t>
  </si>
  <si>
    <t>Drew Doughty</t>
  </si>
  <si>
    <t>Nick Leddy</t>
  </si>
  <si>
    <t>Morgan Rielly</t>
  </si>
  <si>
    <t>Brent Seabrook</t>
  </si>
  <si>
    <t>Justin Faulk</t>
  </si>
  <si>
    <t>Duncan Keith</t>
  </si>
  <si>
    <t>Deryk Engelland</t>
  </si>
  <si>
    <t>Brooks Orpik</t>
  </si>
  <si>
    <t>Johnny Boychuk</t>
  </si>
  <si>
    <t>Francois Beauchemin</t>
  </si>
  <si>
    <t>Jonathan Quick</t>
  </si>
  <si>
    <t>Ondrej Pavelec</t>
  </si>
  <si>
    <t>Louis Domingue</t>
  </si>
  <si>
    <t>Christopher Gibson</t>
  </si>
  <si>
    <t>Tomas Tatar</t>
  </si>
  <si>
    <t>Nick Ritchie</t>
  </si>
  <si>
    <t>Scott Darling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</si>
</sst>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0" xfId="1"/>
  </cellXfs>
  <cellStyles count="2">
    <cellStyle name="Neutral" xfId="1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R55"/>
  <sheetViews>
    <sheetView tabSelected="1" topLeftCell="A7" zoomScaleNormal="100" workbookViewId="0">
      <selection activeCell="I2" sqref="I2"/>
    </sheetView>
  </sheetViews>
  <sheetFormatPr defaultRowHeight="15" x14ac:dyDescent="0.25"/>
  <cols>
    <col min="1" max="1" width="13.7109375" style="1" bestFit="1" customWidth="1"/>
    <col min="2" max="2" width="11" style="1" bestFit="1" customWidth="1"/>
    <col min="3" max="3" width="21.5703125" style="1" bestFit="1" customWidth="1"/>
    <col min="4" max="4" width="12" style="1" bestFit="1" customWidth="1"/>
    <col min="5" max="6" width="9.140625" style="1"/>
    <col min="7" max="7" width="11.85546875" style="1" bestFit="1" customWidth="1"/>
    <col min="8" max="8" width="9.140625" style="1"/>
    <col min="9" max="9" width="10.7109375" style="1" bestFit="1" customWidth="1"/>
    <col min="10" max="10" width="9.42578125" style="1" bestFit="1" customWidth="1"/>
    <col min="11" max="11" width="9.140625" style="1"/>
    <col min="12" max="12" width="10.28515625" style="1" bestFit="1" customWidth="1"/>
    <col min="13" max="13" width="24.42578125" style="1" bestFit="1" customWidth="1"/>
    <col min="14" max="17" width="9.140625" style="1"/>
    <col min="18" max="18" width="12.28515625" style="1" bestFit="1" customWidth="1"/>
    <col min="19" max="20" width="9.140625" style="1"/>
    <col min="21" max="21" width="14" style="1" bestFit="1" customWidth="1"/>
    <col min="22" max="22" width="20" style="1" bestFit="1" customWidth="1"/>
    <col min="23" max="23" width="14.7109375" style="1" bestFit="1" customWidth="1"/>
    <col min="24" max="30" width="9.140625" style="1"/>
    <col min="31" max="31" width="14.85546875" style="1" bestFit="1" customWidth="1"/>
    <col min="32" max="16384" width="9.140625" style="1"/>
  </cols>
  <sheetData>
    <row r="1" spans="2:44" x14ac:dyDescent="0.25">
      <c r="I1" s="1">
        <f>SUM(D6,D7,D17,D38,N6,N19,W6,W13,AF6)</f>
        <v>41.014361381530698</v>
      </c>
      <c r="L1" s="1" t="s">
        <v>1</v>
      </c>
      <c r="M1" s="1">
        <f>SUM(E3,O3,X3,AG3)</f>
        <v>14400</v>
      </c>
      <c r="O1" s="1" t="s">
        <v>2</v>
      </c>
      <c r="P1" s="1">
        <f>SUM(C3,M3,V3,AE3)</f>
        <v>14.331800937652559</v>
      </c>
      <c r="Q1" s="2" t="s">
        <v>71</v>
      </c>
      <c r="R1" s="1">
        <f>SUM(G3,Q3,Z3,AI3)</f>
        <v>4</v>
      </c>
      <c r="AL1" s="1">
        <f>MAX($P$1)</f>
        <v>14.331800937652559</v>
      </c>
    </row>
    <row r="2" spans="2:44" x14ac:dyDescent="0.25">
      <c r="AL2" s="1">
        <f>COUNT($F$6:$F$54,$P$6:$P$55,$Y$6:$Y$51,$AH$6:$AH$55)</f>
        <v>195</v>
      </c>
    </row>
    <row r="3" spans="2:44" x14ac:dyDescent="0.25">
      <c r="B3" s="2" t="s">
        <v>69</v>
      </c>
      <c r="C3" s="1">
        <f>SUM(G6:G54)</f>
        <v>6.8678574562072594</v>
      </c>
      <c r="D3" s="2" t="s">
        <v>70</v>
      </c>
      <c r="E3" s="1">
        <f>SUM(H6:H54)</f>
        <v>7200</v>
      </c>
      <c r="F3" s="2" t="s">
        <v>71</v>
      </c>
      <c r="G3" s="1">
        <f>SUM(F6:F54)</f>
        <v>2</v>
      </c>
      <c r="L3" s="2" t="s">
        <v>69</v>
      </c>
      <c r="M3" s="1">
        <f>SUM(Q6:Q55)</f>
        <v>3.73197174072265</v>
      </c>
      <c r="N3" s="2" t="s">
        <v>70</v>
      </c>
      <c r="O3" s="1">
        <f>SUM(R6:R55)</f>
        <v>3200</v>
      </c>
      <c r="P3" s="2" t="s">
        <v>71</v>
      </c>
      <c r="Q3" s="1">
        <f>SUM(P6:P55)</f>
        <v>1</v>
      </c>
      <c r="U3" s="2" t="s">
        <v>69</v>
      </c>
      <c r="V3" s="1">
        <f>SUM(Z6:Z51)</f>
        <v>3.73197174072265</v>
      </c>
      <c r="W3" s="2" t="s">
        <v>70</v>
      </c>
      <c r="X3" s="1">
        <f>SUM(AA6:AA51)</f>
        <v>4000</v>
      </c>
      <c r="Y3" s="2" t="s">
        <v>71</v>
      </c>
      <c r="Z3" s="1">
        <f>SUM(Y6:Y51)</f>
        <v>1</v>
      </c>
      <c r="AD3" s="2" t="s">
        <v>69</v>
      </c>
      <c r="AE3" s="1">
        <f>SUM(AI6:AI55)</f>
        <v>0</v>
      </c>
      <c r="AF3" s="2" t="s">
        <v>70</v>
      </c>
      <c r="AG3" s="1">
        <f>SUM(AJ6:AJ55)</f>
        <v>0</v>
      </c>
      <c r="AH3" s="2" t="s">
        <v>71</v>
      </c>
      <c r="AI3" s="1">
        <f>SUM(AH6:AH55)</f>
        <v>0</v>
      </c>
      <c r="AJ3" s="2"/>
      <c r="AL3" s="1" t="b">
        <f t="array" ref="AL3">($AH$6:$AH$55=0)+($AH$6:$AH$55=1)=1</f>
        <v>1</v>
      </c>
    </row>
    <row r="4" spans="2:44" x14ac:dyDescent="0.25">
      <c r="B4" s="2"/>
      <c r="D4" s="2"/>
      <c r="F4" s="2"/>
      <c r="AL4" s="1" t="b">
        <f>$AI$3&lt;=2</f>
        <v>1</v>
      </c>
    </row>
    <row r="5" spans="2:44" x14ac:dyDescent="0.25">
      <c r="B5" s="1" t="s">
        <v>3</v>
      </c>
      <c r="C5" s="1" t="s">
        <v>4</v>
      </c>
      <c r="D5" s="1">
        <v>0</v>
      </c>
      <c r="E5" s="1" t="s">
        <v>5</v>
      </c>
      <c r="F5" s="2" t="s">
        <v>0</v>
      </c>
      <c r="G5" s="2" t="s">
        <v>67</v>
      </c>
      <c r="H5" s="2" t="s">
        <v>68</v>
      </c>
      <c r="L5" s="1" t="s">
        <v>3</v>
      </c>
      <c r="M5" s="1" t="s">
        <v>4</v>
      </c>
      <c r="N5" s="1">
        <v>0</v>
      </c>
      <c r="O5" s="1" t="s">
        <v>5</v>
      </c>
      <c r="P5" s="2" t="s">
        <v>0</v>
      </c>
      <c r="Q5" s="2" t="s">
        <v>67</v>
      </c>
      <c r="R5" s="2" t="s">
        <v>68</v>
      </c>
      <c r="U5" s="1" t="s">
        <v>3</v>
      </c>
      <c r="V5" s="1" t="s">
        <v>4</v>
      </c>
      <c r="W5" s="1">
        <v>0</v>
      </c>
      <c r="X5" s="1" t="s">
        <v>5</v>
      </c>
      <c r="Y5" s="2" t="s">
        <v>0</v>
      </c>
      <c r="Z5" s="2" t="s">
        <v>67</v>
      </c>
      <c r="AA5" s="2" t="s">
        <v>68</v>
      </c>
      <c r="AB5" s="2"/>
      <c r="AD5" s="1" t="s">
        <v>3</v>
      </c>
      <c r="AE5" s="1" t="s">
        <v>4</v>
      </c>
      <c r="AF5" s="1">
        <v>0</v>
      </c>
      <c r="AG5" s="1" t="s">
        <v>5</v>
      </c>
      <c r="AH5" s="2" t="s">
        <v>0</v>
      </c>
      <c r="AI5" s="2" t="s">
        <v>67</v>
      </c>
      <c r="AJ5" s="2" t="s">
        <v>68</v>
      </c>
      <c r="AL5" s="1" t="b">
        <f>$AI$3&gt;=1</f>
        <v>0</v>
      </c>
    </row>
    <row r="6" spans="2:44" x14ac:dyDescent="0.25">
      <c r="B6" s="1">
        <v>26</v>
      </c>
      <c r="C6" s="3" t="s">
        <v>125</v>
      </c>
      <c r="D6" s="1">
        <v>5.0525407791137598</v>
      </c>
      <c r="E6" s="1">
        <v>8000</v>
      </c>
      <c r="F6" s="2">
        <v>0</v>
      </c>
      <c r="G6" s="1">
        <f>F6*D6</f>
        <v>0</v>
      </c>
      <c r="H6" s="1">
        <f>F6*E6</f>
        <v>0</v>
      </c>
      <c r="L6" s="1">
        <v>194</v>
      </c>
      <c r="M6" s="3" t="s">
        <v>45</v>
      </c>
      <c r="N6" s="1">
        <v>5.0700325965881303</v>
      </c>
      <c r="O6" s="1">
        <v>7600</v>
      </c>
      <c r="P6" s="2">
        <v>0</v>
      </c>
      <c r="Q6" s="1">
        <f>P6*N6</f>
        <v>0</v>
      </c>
      <c r="R6" s="1">
        <f>P6*O6</f>
        <v>0</v>
      </c>
      <c r="U6" s="1">
        <v>60</v>
      </c>
      <c r="V6" s="3" t="s">
        <v>145</v>
      </c>
      <c r="W6" s="1">
        <v>5.0243983268737704</v>
      </c>
      <c r="X6" s="1">
        <v>5900</v>
      </c>
      <c r="Y6" s="2">
        <v>0</v>
      </c>
      <c r="Z6" s="1">
        <f>Y6*W6</f>
        <v>0</v>
      </c>
      <c r="AA6" s="1">
        <f>Y6*X6</f>
        <v>0</v>
      </c>
      <c r="AD6" s="1">
        <v>8</v>
      </c>
      <c r="AE6" s="3" t="s">
        <v>66</v>
      </c>
      <c r="AF6" s="1">
        <v>6.5710716247558496</v>
      </c>
      <c r="AG6" s="1">
        <v>7800</v>
      </c>
      <c r="AH6" s="2">
        <v>0</v>
      </c>
      <c r="AI6" s="1">
        <f>AH6*AF6</f>
        <v>0</v>
      </c>
      <c r="AJ6" s="1">
        <f>AH6*AG6</f>
        <v>0</v>
      </c>
      <c r="AL6" s="1" t="b">
        <f t="array" ref="AL6">($F$6:$F$54=0)+($F$6:$F$54=1)=1</f>
        <v>1</v>
      </c>
      <c r="AM6" s="1" t="str">
        <f t="shared" ref="AM6:AM50" si="0">IF(N6=1,M6,"")</f>
        <v/>
      </c>
      <c r="AN6" s="1" t="str">
        <f t="shared" ref="AN6:AN10" si="1">IF(W6=1,V6,"")</f>
        <v/>
      </c>
      <c r="AO6" s="1" t="str">
        <f t="shared" ref="AO6:AO7" si="2">IF(E7=1,D7,"")</f>
        <v/>
      </c>
      <c r="AP6" s="1" t="str">
        <f t="shared" ref="AP6:AP14" si="3">IF(AG6=1,AF6,"")</f>
        <v/>
      </c>
    </row>
    <row r="7" spans="2:44" x14ac:dyDescent="0.25">
      <c r="B7" s="1">
        <v>83</v>
      </c>
      <c r="C7" s="3" t="s">
        <v>13</v>
      </c>
      <c r="D7" s="1">
        <v>4.96451711654663</v>
      </c>
      <c r="E7" s="1">
        <v>6300</v>
      </c>
      <c r="F7" s="2">
        <v>0</v>
      </c>
      <c r="G7" s="1">
        <f t="shared" ref="G7:G54" si="4">F7*D7</f>
        <v>0</v>
      </c>
      <c r="H7" s="1">
        <f t="shared" ref="H7:H54" si="5">F7*E7</f>
        <v>0</v>
      </c>
      <c r="L7" s="1">
        <v>158</v>
      </c>
      <c r="M7" s="1" t="s">
        <v>136</v>
      </c>
      <c r="N7" s="1">
        <v>4.9405879974365199</v>
      </c>
      <c r="O7" s="1">
        <v>7900</v>
      </c>
      <c r="P7" s="2">
        <v>0</v>
      </c>
      <c r="Q7" s="1">
        <f t="shared" ref="Q7:Q50" si="6">P7*N7</f>
        <v>0</v>
      </c>
      <c r="R7" s="1">
        <f t="shared" ref="R7:R50" si="7">P7*O7</f>
        <v>0</v>
      </c>
      <c r="U7" s="1">
        <v>63</v>
      </c>
      <c r="V7" t="s">
        <v>54</v>
      </c>
      <c r="W7" s="1">
        <v>5.0243983268737704</v>
      </c>
      <c r="X7" s="1">
        <v>6300</v>
      </c>
      <c r="Y7" s="2">
        <v>0</v>
      </c>
      <c r="Z7" s="1">
        <f t="shared" ref="Z7:Z51" si="8">Y7*W7</f>
        <v>0</v>
      </c>
      <c r="AA7" s="1">
        <f t="shared" ref="AA7:AA51" si="9">Y7*X7</f>
        <v>0</v>
      </c>
      <c r="AD7" s="1">
        <v>7</v>
      </c>
      <c r="AE7" s="1" t="s">
        <v>65</v>
      </c>
      <c r="AF7" s="1">
        <v>6.3660120964050204</v>
      </c>
      <c r="AG7" s="1">
        <v>8100</v>
      </c>
      <c r="AH7" s="2">
        <v>0</v>
      </c>
      <c r="AI7" s="1">
        <f t="shared" ref="AI7:AI15" si="10">AH7*AF7</f>
        <v>0</v>
      </c>
      <c r="AJ7" s="1">
        <f t="shared" ref="AJ7:AJ15" si="11">AH7*AG7</f>
        <v>0</v>
      </c>
      <c r="AL7" s="1" t="b">
        <f>$G$3&lt;=4</f>
        <v>1</v>
      </c>
      <c r="AM7" s="1" t="str">
        <f t="shared" si="0"/>
        <v/>
      </c>
      <c r="AN7" s="1" t="str">
        <f t="shared" si="1"/>
        <v/>
      </c>
      <c r="AO7" s="1" t="str">
        <f t="shared" si="2"/>
        <v/>
      </c>
      <c r="AP7" s="1" t="str">
        <f t="shared" si="3"/>
        <v/>
      </c>
    </row>
    <row r="8" spans="2:44" x14ac:dyDescent="0.25">
      <c r="B8" s="1">
        <v>117</v>
      </c>
      <c r="C8" t="s">
        <v>16</v>
      </c>
      <c r="D8" s="1">
        <v>4.9405879974365199</v>
      </c>
      <c r="E8" s="1">
        <v>7800</v>
      </c>
      <c r="F8" s="2">
        <v>0</v>
      </c>
      <c r="G8" s="1">
        <f t="shared" si="4"/>
        <v>0</v>
      </c>
      <c r="H8" s="1">
        <f t="shared" si="5"/>
        <v>0</v>
      </c>
      <c r="L8" s="1">
        <v>115</v>
      </c>
      <c r="M8" s="1" t="s">
        <v>86</v>
      </c>
      <c r="N8" s="1">
        <v>4.4980940818786603</v>
      </c>
      <c r="O8" s="1">
        <v>6700</v>
      </c>
      <c r="P8" s="2">
        <v>0</v>
      </c>
      <c r="Q8" s="1">
        <f t="shared" si="6"/>
        <v>0</v>
      </c>
      <c r="R8" s="1">
        <f t="shared" si="7"/>
        <v>0</v>
      </c>
      <c r="U8" s="1">
        <v>78</v>
      </c>
      <c r="V8" s="1" t="s">
        <v>103</v>
      </c>
      <c r="W8" s="1">
        <v>4.5039954185485804</v>
      </c>
      <c r="X8" s="1">
        <v>5700</v>
      </c>
      <c r="Y8" s="2">
        <v>0</v>
      </c>
      <c r="Z8" s="1">
        <f t="shared" si="8"/>
        <v>0</v>
      </c>
      <c r="AA8" s="1">
        <f t="shared" si="9"/>
        <v>0</v>
      </c>
      <c r="AD8" s="1">
        <v>1</v>
      </c>
      <c r="AE8" s="1" t="s">
        <v>156</v>
      </c>
      <c r="AF8" s="1">
        <v>6.1860618591308496</v>
      </c>
      <c r="AG8" s="1">
        <v>7700</v>
      </c>
      <c r="AH8" s="2">
        <v>0</v>
      </c>
      <c r="AI8" s="1">
        <f t="shared" si="10"/>
        <v>0</v>
      </c>
      <c r="AJ8" s="1">
        <f t="shared" si="11"/>
        <v>0</v>
      </c>
      <c r="AL8" s="1" t="b">
        <f>$G$3&gt;=3</f>
        <v>0</v>
      </c>
      <c r="AM8" s="1" t="str">
        <f t="shared" si="0"/>
        <v/>
      </c>
      <c r="AN8" s="1" t="str">
        <f t="shared" si="1"/>
        <v/>
      </c>
      <c r="AO8" s="1" t="e">
        <f>IF(#REF!=1,#REF!,"")</f>
        <v>#REF!</v>
      </c>
      <c r="AP8" s="1" t="str">
        <f t="shared" si="3"/>
        <v/>
      </c>
      <c r="AR8" s="1" t="str">
        <f>INDEX(AM8:AP50,1+INT((ROW(AM8)-1)/COLUMNS(AM8:AP50)),MOD(ROW(AM8)-1+COLUMNS(AM8:AP50),COLUMNS(AM8:AP50))+1)</f>
        <v/>
      </c>
    </row>
    <row r="9" spans="2:44" x14ac:dyDescent="0.25">
      <c r="B9" s="1">
        <v>52</v>
      </c>
      <c r="C9" s="1" t="s">
        <v>72</v>
      </c>
      <c r="D9" s="1">
        <v>4.5262513160705504</v>
      </c>
      <c r="E9" s="1">
        <v>6500</v>
      </c>
      <c r="F9" s="2">
        <v>0</v>
      </c>
      <c r="G9" s="1">
        <f t="shared" si="4"/>
        <v>0</v>
      </c>
      <c r="H9" s="1">
        <f t="shared" si="5"/>
        <v>0</v>
      </c>
      <c r="L9" s="1">
        <v>178</v>
      </c>
      <c r="M9" s="1" t="s">
        <v>42</v>
      </c>
      <c r="N9" s="1">
        <v>4.4393510818481401</v>
      </c>
      <c r="O9" s="1">
        <v>5900</v>
      </c>
      <c r="P9" s="2">
        <v>0</v>
      </c>
      <c r="Q9" s="1">
        <f t="shared" si="6"/>
        <v>0</v>
      </c>
      <c r="R9" s="1">
        <f t="shared" si="7"/>
        <v>0</v>
      </c>
      <c r="U9" s="1">
        <v>71</v>
      </c>
      <c r="V9" s="1" t="s">
        <v>55</v>
      </c>
      <c r="W9" s="1">
        <v>4.5039954185485804</v>
      </c>
      <c r="X9" s="1">
        <v>6200</v>
      </c>
      <c r="Y9" s="2">
        <v>0</v>
      </c>
      <c r="Z9" s="1">
        <f t="shared" si="8"/>
        <v>0</v>
      </c>
      <c r="AA9" s="1">
        <f t="shared" si="9"/>
        <v>0</v>
      </c>
      <c r="AD9" s="1">
        <v>5</v>
      </c>
      <c r="AE9" s="1" t="s">
        <v>64</v>
      </c>
      <c r="AF9" s="1">
        <v>5.45355129241943</v>
      </c>
      <c r="AG9" s="1">
        <v>8500</v>
      </c>
      <c r="AH9" s="2">
        <v>0</v>
      </c>
      <c r="AI9" s="1">
        <f t="shared" si="10"/>
        <v>0</v>
      </c>
      <c r="AJ9" s="1">
        <f t="shared" si="11"/>
        <v>0</v>
      </c>
      <c r="AL9" s="1" t="b">
        <f>$M$1&lt;=50000</f>
        <v>1</v>
      </c>
      <c r="AM9" s="1" t="str">
        <f t="shared" si="0"/>
        <v/>
      </c>
      <c r="AN9" s="1" t="str">
        <f t="shared" si="1"/>
        <v/>
      </c>
      <c r="AO9" s="1" t="str">
        <f t="shared" ref="AO9:AO50" si="12">IF(E9=1,D9,"")</f>
        <v/>
      </c>
      <c r="AP9" s="1" t="str">
        <f t="shared" si="3"/>
        <v/>
      </c>
      <c r="AR9" s="1" t="str">
        <f>INDEX(AM9:AP50,1+INT((ROW(AM9)-1)/COLUMNS(AM9:AP50)),MOD(ROW(AM9)-1+COLUMNS(AM9:AP50),COLUMNS(AM9:AP50))+1)</f>
        <v/>
      </c>
    </row>
    <row r="10" spans="2:44" x14ac:dyDescent="0.25">
      <c r="B10" s="1">
        <v>157</v>
      </c>
      <c r="C10" s="1" t="s">
        <v>24</v>
      </c>
      <c r="D10" s="1">
        <v>4.4623050689697203</v>
      </c>
      <c r="E10" s="1">
        <v>4600</v>
      </c>
      <c r="F10" s="2">
        <v>0</v>
      </c>
      <c r="G10" s="1">
        <f t="shared" si="4"/>
        <v>0</v>
      </c>
      <c r="H10" s="1">
        <f t="shared" si="5"/>
        <v>0</v>
      </c>
      <c r="L10" s="1">
        <v>119</v>
      </c>
      <c r="M10" s="1" t="s">
        <v>40</v>
      </c>
      <c r="N10" s="1">
        <v>4.3378939628601003</v>
      </c>
      <c r="O10" s="1">
        <v>5500</v>
      </c>
      <c r="P10" s="2">
        <v>0</v>
      </c>
      <c r="Q10" s="1">
        <f t="shared" si="6"/>
        <v>0</v>
      </c>
      <c r="R10" s="1">
        <f t="shared" si="7"/>
        <v>0</v>
      </c>
      <c r="U10" s="1">
        <v>94</v>
      </c>
      <c r="V10" s="1" t="s">
        <v>57</v>
      </c>
      <c r="W10" s="1">
        <v>4.09278964996337</v>
      </c>
      <c r="X10" s="1">
        <v>5000</v>
      </c>
      <c r="Y10" s="2">
        <v>0</v>
      </c>
      <c r="Z10" s="1">
        <f t="shared" si="8"/>
        <v>0</v>
      </c>
      <c r="AA10" s="1">
        <f t="shared" si="9"/>
        <v>0</v>
      </c>
      <c r="AD10" s="1">
        <v>2</v>
      </c>
      <c r="AE10" s="1" t="s">
        <v>123</v>
      </c>
      <c r="AF10" s="1">
        <v>2.6297144889831499</v>
      </c>
      <c r="AG10" s="1">
        <v>8200</v>
      </c>
      <c r="AH10" s="2">
        <v>0</v>
      </c>
      <c r="AI10" s="1">
        <f t="shared" si="10"/>
        <v>0</v>
      </c>
      <c r="AJ10" s="1">
        <f t="shared" si="11"/>
        <v>0</v>
      </c>
      <c r="AL10" s="1" t="b">
        <f t="array" ref="AL10">($P$6:$P$55=0)+($P$6:$P$55=1)=1</f>
        <v>1</v>
      </c>
      <c r="AM10" s="1" t="str">
        <f t="shared" si="0"/>
        <v/>
      </c>
      <c r="AN10" s="1" t="str">
        <f t="shared" si="1"/>
        <v/>
      </c>
      <c r="AO10" s="1" t="str">
        <f t="shared" si="12"/>
        <v/>
      </c>
      <c r="AP10" s="1" t="str">
        <f t="shared" si="3"/>
        <v/>
      </c>
      <c r="AR10" s="1" t="str">
        <f>INDEX(AM10:AP50,1+INT((ROW(AM10)-1)/COLUMNS(AM10:AP50)),MOD(ROW(AM10)-1+COLUMNS(AM10:AP50),COLUMNS(AM10:AP50))+1)</f>
        <v/>
      </c>
    </row>
    <row r="11" spans="2:44" x14ac:dyDescent="0.25">
      <c r="B11" s="1">
        <v>95</v>
      </c>
      <c r="C11" s="1" t="s">
        <v>126</v>
      </c>
      <c r="D11" s="1">
        <v>4.1836633682250897</v>
      </c>
      <c r="E11" s="1">
        <v>6800</v>
      </c>
      <c r="F11" s="2">
        <v>0</v>
      </c>
      <c r="G11" s="1">
        <f t="shared" si="4"/>
        <v>0</v>
      </c>
      <c r="H11" s="1">
        <f t="shared" si="5"/>
        <v>0</v>
      </c>
      <c r="L11" s="1">
        <v>59</v>
      </c>
      <c r="M11" s="1" t="s">
        <v>137</v>
      </c>
      <c r="N11" s="1">
        <v>4.0691661834716797</v>
      </c>
      <c r="O11" s="1">
        <v>7300</v>
      </c>
      <c r="P11" s="2">
        <v>0</v>
      </c>
      <c r="Q11" s="1">
        <f t="shared" si="6"/>
        <v>0</v>
      </c>
      <c r="R11" s="1">
        <f t="shared" si="7"/>
        <v>0</v>
      </c>
      <c r="U11" s="1">
        <v>54</v>
      </c>
      <c r="V11" s="1" t="s">
        <v>51</v>
      </c>
      <c r="W11" s="1">
        <v>4.0779366493225098</v>
      </c>
      <c r="X11" s="1">
        <v>5000</v>
      </c>
      <c r="Y11" s="2">
        <v>0</v>
      </c>
      <c r="Z11" s="1">
        <f t="shared" si="8"/>
        <v>0</v>
      </c>
      <c r="AA11" s="1">
        <f t="shared" si="9"/>
        <v>0</v>
      </c>
      <c r="AD11" s="1">
        <v>4</v>
      </c>
      <c r="AE11" s="1" t="s">
        <v>124</v>
      </c>
      <c r="AF11" s="1">
        <v>2.3660454750061</v>
      </c>
      <c r="AG11" s="1">
        <v>7500</v>
      </c>
      <c r="AH11" s="2">
        <v>0</v>
      </c>
      <c r="AI11" s="1">
        <f t="shared" si="10"/>
        <v>0</v>
      </c>
      <c r="AJ11" s="1">
        <f t="shared" si="11"/>
        <v>0</v>
      </c>
      <c r="AL11" s="1" t="b">
        <f>$Q$3&lt;=3</f>
        <v>1</v>
      </c>
      <c r="AM11" s="1" t="str">
        <f t="shared" si="0"/>
        <v/>
      </c>
      <c r="AN11" s="1" t="e">
        <f>IF(#REF!=1,#REF!,"")</f>
        <v>#REF!</v>
      </c>
      <c r="AO11" s="1" t="str">
        <f t="shared" si="12"/>
        <v/>
      </c>
      <c r="AP11" s="1" t="str">
        <f t="shared" si="3"/>
        <v/>
      </c>
      <c r="AR11" s="1" t="str">
        <f>INDEX(AM11:AP50,1+INT((ROW(AM11)-1)/COLUMNS(AM11:AP50)),MOD(ROW(AM11)-1+COLUMNS(AM11:AP50),COLUMNS(AM11:AP50))+1)</f>
        <v/>
      </c>
    </row>
    <row r="12" spans="2:44" x14ac:dyDescent="0.25">
      <c r="B12" s="1">
        <v>125</v>
      </c>
      <c r="C12" s="1" t="s">
        <v>127</v>
      </c>
      <c r="D12" s="1">
        <v>3.9376952648162802</v>
      </c>
      <c r="E12" s="1">
        <v>6900</v>
      </c>
      <c r="F12" s="2">
        <v>0</v>
      </c>
      <c r="G12" s="1">
        <f t="shared" si="4"/>
        <v>0</v>
      </c>
      <c r="H12" s="1">
        <f t="shared" si="5"/>
        <v>0</v>
      </c>
      <c r="L12" s="1">
        <v>72</v>
      </c>
      <c r="M12" s="1" t="s">
        <v>87</v>
      </c>
      <c r="N12" s="1">
        <v>4.0428609848022399</v>
      </c>
      <c r="O12" s="1">
        <v>5700</v>
      </c>
      <c r="P12" s="2">
        <v>0</v>
      </c>
      <c r="Q12" s="1">
        <f t="shared" si="6"/>
        <v>0</v>
      </c>
      <c r="R12" s="1">
        <f t="shared" si="7"/>
        <v>0</v>
      </c>
      <c r="U12" s="1">
        <v>58</v>
      </c>
      <c r="V12" s="1" t="s">
        <v>146</v>
      </c>
      <c r="W12" s="1">
        <v>3.99929642677307</v>
      </c>
      <c r="X12" s="1">
        <v>5400</v>
      </c>
      <c r="Y12" s="2">
        <v>0</v>
      </c>
      <c r="Z12" s="1">
        <f t="shared" si="8"/>
        <v>0</v>
      </c>
      <c r="AA12" s="1">
        <f t="shared" si="9"/>
        <v>0</v>
      </c>
      <c r="AD12" s="1">
        <v>0</v>
      </c>
      <c r="AE12" s="1" t="s">
        <v>157</v>
      </c>
      <c r="AF12" s="1">
        <v>2.13305187225341</v>
      </c>
      <c r="AG12" s="1">
        <v>6900</v>
      </c>
      <c r="AH12" s="2">
        <v>0</v>
      </c>
      <c r="AI12" s="1">
        <f t="shared" si="10"/>
        <v>0</v>
      </c>
      <c r="AJ12" s="1">
        <f t="shared" si="11"/>
        <v>0</v>
      </c>
      <c r="AL12" s="1" t="b">
        <f>$Q$3&gt;=2</f>
        <v>0</v>
      </c>
      <c r="AM12" s="1" t="str">
        <f t="shared" si="0"/>
        <v/>
      </c>
      <c r="AN12" s="1" t="str">
        <f>IF(W11=1,V11,"")</f>
        <v/>
      </c>
      <c r="AO12" s="1" t="str">
        <f t="shared" si="12"/>
        <v/>
      </c>
      <c r="AP12" s="1" t="str">
        <f t="shared" si="3"/>
        <v/>
      </c>
      <c r="AR12" s="1" t="str">
        <f>INDEX(AM12:AP50,1+INT((ROW(AM12)-1)/COLUMNS(AM12:AP50)),MOD(ROW(AM12)-1+COLUMNS(AM12:AP50),COLUMNS(AM12:AP50))+1)</f>
        <v/>
      </c>
    </row>
    <row r="13" spans="2:44" x14ac:dyDescent="0.25">
      <c r="B13" s="1">
        <v>84</v>
      </c>
      <c r="C13" s="1" t="s">
        <v>128</v>
      </c>
      <c r="D13" s="1">
        <v>3.8334288597106898</v>
      </c>
      <c r="E13" s="1">
        <v>4800</v>
      </c>
      <c r="F13" s="2">
        <v>0</v>
      </c>
      <c r="G13" s="1">
        <f t="shared" si="4"/>
        <v>0</v>
      </c>
      <c r="H13" s="1">
        <f t="shared" si="5"/>
        <v>0</v>
      </c>
      <c r="L13" s="1">
        <v>20</v>
      </c>
      <c r="M13" s="1" t="s">
        <v>138</v>
      </c>
      <c r="N13" s="1">
        <v>3.9722046852111799</v>
      </c>
      <c r="O13" s="1">
        <v>6300</v>
      </c>
      <c r="P13" s="2">
        <v>0</v>
      </c>
      <c r="Q13" s="1">
        <f t="shared" si="6"/>
        <v>0</v>
      </c>
      <c r="R13" s="1">
        <f t="shared" si="7"/>
        <v>0</v>
      </c>
      <c r="U13" s="1">
        <v>198</v>
      </c>
      <c r="V13" s="3" t="s">
        <v>62</v>
      </c>
      <c r="W13" s="1">
        <v>3.73197174072265</v>
      </c>
      <c r="X13" s="1">
        <v>4000</v>
      </c>
      <c r="Y13" s="2">
        <v>1</v>
      </c>
      <c r="Z13" s="1">
        <f t="shared" si="8"/>
        <v>3.73197174072265</v>
      </c>
      <c r="AA13" s="1">
        <f t="shared" si="9"/>
        <v>4000</v>
      </c>
      <c r="AD13" s="1">
        <v>6</v>
      </c>
      <c r="AE13" s="1" t="s">
        <v>158</v>
      </c>
      <c r="AF13" s="1">
        <v>1.8228296041488601</v>
      </c>
      <c r="AG13" s="1">
        <v>7800</v>
      </c>
      <c r="AH13" s="2">
        <v>0</v>
      </c>
      <c r="AI13" s="1">
        <f t="shared" si="10"/>
        <v>0</v>
      </c>
      <c r="AJ13" s="1">
        <f t="shared" si="11"/>
        <v>0</v>
      </c>
      <c r="AL13" s="1" t="b">
        <f t="array" ref="AL13">($Y$6:$Y$51=0)+($Y$6:$Y$51=1)=1</f>
        <v>1</v>
      </c>
      <c r="AM13" s="1" t="str">
        <f t="shared" si="0"/>
        <v/>
      </c>
      <c r="AN13" s="1" t="str">
        <f>IF(W12=1,V12,"")</f>
        <v/>
      </c>
      <c r="AO13" s="1" t="str">
        <f t="shared" si="12"/>
        <v/>
      </c>
      <c r="AP13" s="1" t="str">
        <f t="shared" si="3"/>
        <v/>
      </c>
      <c r="AR13" s="1" t="str">
        <f>INDEX(AM13:AP50,1+INT((ROW(AM13)-1)/COLUMNS(AM13:AP50)),MOD(ROW(AM13)-1+COLUMNS(AM13:AP50),COLUMNS(AM13:AP50))+1)</f>
        <v/>
      </c>
    </row>
    <row r="14" spans="2:44" x14ac:dyDescent="0.25">
      <c r="B14" s="1">
        <v>118</v>
      </c>
      <c r="C14" s="1" t="s">
        <v>130</v>
      </c>
      <c r="D14" s="1">
        <v>3.8334288597106898</v>
      </c>
      <c r="E14" s="1">
        <v>5900</v>
      </c>
      <c r="F14" s="2">
        <v>0</v>
      </c>
      <c r="G14" s="1">
        <f t="shared" si="4"/>
        <v>0</v>
      </c>
      <c r="H14" s="1">
        <f t="shared" si="5"/>
        <v>0</v>
      </c>
      <c r="L14" s="1">
        <v>32</v>
      </c>
      <c r="M14" s="1" t="s">
        <v>139</v>
      </c>
      <c r="N14" s="1">
        <v>3.9722046852111799</v>
      </c>
      <c r="O14" s="1">
        <v>6600</v>
      </c>
      <c r="P14" s="2">
        <v>0</v>
      </c>
      <c r="Q14" s="1">
        <f t="shared" si="6"/>
        <v>0</v>
      </c>
      <c r="R14" s="1">
        <f t="shared" si="7"/>
        <v>0</v>
      </c>
      <c r="U14" s="1">
        <v>74</v>
      </c>
      <c r="V14" s="1" t="s">
        <v>147</v>
      </c>
      <c r="W14" s="1">
        <v>3.73197174072265</v>
      </c>
      <c r="X14" s="1">
        <v>4800</v>
      </c>
      <c r="Y14" s="2">
        <v>0</v>
      </c>
      <c r="Z14" s="1">
        <f t="shared" si="8"/>
        <v>0</v>
      </c>
      <c r="AA14" s="1">
        <f t="shared" si="9"/>
        <v>0</v>
      </c>
      <c r="AD14" s="1">
        <v>3</v>
      </c>
      <c r="AE14" s="1" t="s">
        <v>162</v>
      </c>
      <c r="AF14" s="1">
        <v>1.76892626285552</v>
      </c>
      <c r="AG14" s="1">
        <v>6900</v>
      </c>
      <c r="AH14" s="2">
        <v>0</v>
      </c>
      <c r="AI14" s="1">
        <f t="shared" si="10"/>
        <v>0</v>
      </c>
      <c r="AJ14" s="1">
        <f t="shared" si="11"/>
        <v>0</v>
      </c>
      <c r="AL14" s="1" t="b">
        <f>$Z$3&lt;=3</f>
        <v>1</v>
      </c>
      <c r="AM14" s="1" t="str">
        <f t="shared" si="0"/>
        <v/>
      </c>
      <c r="AN14" s="1" t="e">
        <f>IF(#REF!=1,#REF!,"")</f>
        <v>#REF!</v>
      </c>
      <c r="AO14" s="1" t="str">
        <f t="shared" si="12"/>
        <v/>
      </c>
      <c r="AP14" s="1" t="str">
        <f t="shared" si="3"/>
        <v/>
      </c>
      <c r="AR14" s="1" t="str">
        <f>INDEX(AM14:AP50,1+INT((ROW(AM14)-1)/COLUMNS(AM14:AP50)),MOD(ROW(AM14)-1+COLUMNS(AM14:AP50),COLUMNS(AM14:AP50))+1)</f>
        <v/>
      </c>
    </row>
    <row r="15" spans="2:44" x14ac:dyDescent="0.25">
      <c r="B15" s="1">
        <v>12</v>
      </c>
      <c r="C15" s="1" t="s">
        <v>129</v>
      </c>
      <c r="D15" s="1">
        <v>3.8334288597106898</v>
      </c>
      <c r="E15" s="1">
        <v>4700</v>
      </c>
      <c r="F15" s="2">
        <v>0</v>
      </c>
      <c r="G15" s="1">
        <f t="shared" si="4"/>
        <v>0</v>
      </c>
      <c r="H15" s="1">
        <f t="shared" si="5"/>
        <v>0</v>
      </c>
      <c r="L15" s="1">
        <v>47</v>
      </c>
      <c r="M15" s="1" t="s">
        <v>140</v>
      </c>
      <c r="N15" s="1">
        <v>3.9722046852111799</v>
      </c>
      <c r="O15" s="1">
        <v>6400</v>
      </c>
      <c r="P15" s="2">
        <v>0</v>
      </c>
      <c r="Q15" s="1">
        <f t="shared" si="6"/>
        <v>0</v>
      </c>
      <c r="R15" s="1">
        <f t="shared" si="7"/>
        <v>0</v>
      </c>
      <c r="U15" s="1">
        <v>204</v>
      </c>
      <c r="V15" s="1" t="s">
        <v>104</v>
      </c>
      <c r="W15" s="1">
        <v>3.4789795875549299</v>
      </c>
      <c r="X15" s="1">
        <v>4100</v>
      </c>
      <c r="Y15" s="2">
        <v>0</v>
      </c>
      <c r="Z15" s="1">
        <f t="shared" si="8"/>
        <v>0</v>
      </c>
      <c r="AA15" s="1">
        <f t="shared" si="9"/>
        <v>0</v>
      </c>
      <c r="AD15" s="1">
        <v>9</v>
      </c>
      <c r="AE15" s="1" t="s">
        <v>159</v>
      </c>
      <c r="AF15" s="1">
        <v>1.2371311187744101</v>
      </c>
      <c r="AG15" s="1">
        <v>7000</v>
      </c>
      <c r="AH15" s="2">
        <v>0</v>
      </c>
      <c r="AI15" s="1">
        <f t="shared" si="10"/>
        <v>0</v>
      </c>
      <c r="AJ15" s="1">
        <f t="shared" si="11"/>
        <v>0</v>
      </c>
      <c r="AL15" s="1" t="b">
        <f>$Z$3&gt;=2</f>
        <v>0</v>
      </c>
      <c r="AM15" s="1" t="str">
        <f t="shared" si="0"/>
        <v/>
      </c>
      <c r="AN15" s="1" t="e">
        <f>IF(#REF!=1,#REF!,"")</f>
        <v>#REF!</v>
      </c>
      <c r="AO15" s="1" t="str">
        <f t="shared" si="12"/>
        <v/>
      </c>
      <c r="AP15" s="1" t="str">
        <f t="shared" ref="AP15:AP50" si="13">IF(AG15=1,AF15,"")</f>
        <v/>
      </c>
      <c r="AR15" s="1" t="str">
        <f>INDEX(AM15:AP50,1+INT((ROW(AM15)-1)/COLUMNS(AM15:AP50)),MOD(ROW(AM15)-1+COLUMNS(AM15:AP50),COLUMNS(AM15:AP50))+1)</f>
        <v/>
      </c>
    </row>
    <row r="16" spans="2:44" x14ac:dyDescent="0.25">
      <c r="B16" s="1">
        <v>105</v>
      </c>
      <c r="C16" s="1" t="s">
        <v>15</v>
      </c>
      <c r="D16" s="1">
        <v>3.73197174072265</v>
      </c>
      <c r="E16" s="1">
        <v>4600</v>
      </c>
      <c r="F16" s="2">
        <v>0</v>
      </c>
      <c r="G16" s="1">
        <f t="shared" si="4"/>
        <v>0</v>
      </c>
      <c r="H16" s="1">
        <f t="shared" si="5"/>
        <v>0</v>
      </c>
      <c r="L16" s="1">
        <v>70</v>
      </c>
      <c r="M16" s="1" t="s">
        <v>141</v>
      </c>
      <c r="N16" s="1">
        <v>3.9376952648162802</v>
      </c>
      <c r="O16" s="1">
        <v>7100</v>
      </c>
      <c r="P16" s="2">
        <v>0</v>
      </c>
      <c r="Q16" s="1">
        <f t="shared" si="6"/>
        <v>0</v>
      </c>
      <c r="R16" s="1">
        <f t="shared" si="7"/>
        <v>0</v>
      </c>
      <c r="U16" s="1">
        <v>61</v>
      </c>
      <c r="V16" s="1" t="s">
        <v>53</v>
      </c>
      <c r="W16" s="1">
        <v>3.4789795875549299</v>
      </c>
      <c r="X16" s="1">
        <v>4900</v>
      </c>
      <c r="Y16" s="2">
        <v>0</v>
      </c>
      <c r="Z16" s="1">
        <f t="shared" si="8"/>
        <v>0</v>
      </c>
      <c r="AA16" s="1">
        <f t="shared" si="9"/>
        <v>0</v>
      </c>
      <c r="AH16" s="2">
        <v>0</v>
      </c>
      <c r="AL16" s="1">
        <f>{32767,32767,0.000001,0.01,TRUE,FALSE,TRUE,1,1,1,0.0001,TRUE}</f>
        <v>32767</v>
      </c>
      <c r="AM16" s="1" t="str">
        <f t="shared" si="0"/>
        <v/>
      </c>
      <c r="AN16" s="1" t="e">
        <f>IF(#REF!=1,#REF!,"")</f>
        <v>#REF!</v>
      </c>
      <c r="AO16" s="1" t="str">
        <f t="shared" si="12"/>
        <v/>
      </c>
      <c r="AP16" s="1" t="str">
        <f t="shared" si="13"/>
        <v/>
      </c>
      <c r="AR16" s="1" t="str">
        <f>INDEX(AM16:AP50,1+INT((ROW(AM16)-1)/COLUMNS(AM16:AP50)),MOD(ROW(AM16)-1+COLUMNS(AM16:AP50),COLUMNS(AM16:AP50))+1)</f>
        <v/>
      </c>
    </row>
    <row r="17" spans="2:44" x14ac:dyDescent="0.25">
      <c r="B17" s="1">
        <v>5</v>
      </c>
      <c r="C17" s="3" t="s">
        <v>7</v>
      </c>
      <c r="D17" s="1">
        <v>3.73197174072265</v>
      </c>
      <c r="E17" s="1">
        <v>4000</v>
      </c>
      <c r="F17" s="2">
        <v>1</v>
      </c>
      <c r="G17" s="1">
        <f t="shared" si="4"/>
        <v>3.73197174072265</v>
      </c>
      <c r="H17" s="1">
        <f t="shared" si="5"/>
        <v>4000</v>
      </c>
      <c r="L17" s="1">
        <v>184</v>
      </c>
      <c r="M17" s="1" t="s">
        <v>28</v>
      </c>
      <c r="N17" s="1">
        <v>3.9376952648162802</v>
      </c>
      <c r="O17" s="1">
        <v>5400</v>
      </c>
      <c r="P17" s="2">
        <v>0</v>
      </c>
      <c r="Q17" s="1">
        <f t="shared" si="6"/>
        <v>0</v>
      </c>
      <c r="R17" s="1">
        <f t="shared" si="7"/>
        <v>0</v>
      </c>
      <c r="U17" s="1">
        <v>128</v>
      </c>
      <c r="V17" s="1" t="s">
        <v>148</v>
      </c>
      <c r="W17" s="1">
        <v>3.4789795875549299</v>
      </c>
      <c r="X17" s="1">
        <v>5500</v>
      </c>
      <c r="Y17" s="2">
        <v>0</v>
      </c>
      <c r="Z17" s="1">
        <f t="shared" si="8"/>
        <v>0</v>
      </c>
      <c r="AA17" s="1">
        <f t="shared" si="9"/>
        <v>0</v>
      </c>
      <c r="AH17" s="2">
        <v>0</v>
      </c>
      <c r="AL17" s="1">
        <f>{0,0,2,100,0,FALSE,TRUE,0.075,0,0,FALSE,30}</f>
        <v>0</v>
      </c>
      <c r="AM17" s="1" t="str">
        <f t="shared" si="0"/>
        <v/>
      </c>
      <c r="AN17" s="1" t="str">
        <f>IF(W13=1,V13,"")</f>
        <v/>
      </c>
      <c r="AO17" s="1" t="str">
        <f t="shared" si="12"/>
        <v/>
      </c>
      <c r="AP17" s="1" t="str">
        <f t="shared" si="13"/>
        <v/>
      </c>
      <c r="AR17" s="1" t="str">
        <f>INDEX(AM17:AP50,1+INT((ROW(AM17)-1)/COLUMNS(AM17:AP50)),MOD(ROW(AM17)-1+COLUMNS(AM17:AP50),COLUMNS(AM17:AP50))+1)</f>
        <v/>
      </c>
    </row>
    <row r="18" spans="2:44" x14ac:dyDescent="0.25">
      <c r="B18" s="1">
        <v>127</v>
      </c>
      <c r="C18" s="1" t="s">
        <v>20</v>
      </c>
      <c r="D18" s="1">
        <v>3.73197174072265</v>
      </c>
      <c r="E18" s="1">
        <v>5100</v>
      </c>
      <c r="F18" s="2">
        <v>0</v>
      </c>
      <c r="G18" s="1">
        <f t="shared" si="4"/>
        <v>0</v>
      </c>
      <c r="H18" s="1">
        <f t="shared" si="5"/>
        <v>0</v>
      </c>
      <c r="L18" s="1">
        <v>159</v>
      </c>
      <c r="M18" s="1" t="s">
        <v>25</v>
      </c>
      <c r="N18" s="1">
        <v>3.73197174072265</v>
      </c>
      <c r="O18" s="1">
        <v>4300</v>
      </c>
      <c r="P18" s="2">
        <v>0</v>
      </c>
      <c r="Q18" s="1">
        <f t="shared" si="6"/>
        <v>0</v>
      </c>
      <c r="R18" s="1">
        <f t="shared" si="7"/>
        <v>0</v>
      </c>
      <c r="U18" s="1">
        <v>124</v>
      </c>
      <c r="V18" s="1" t="s">
        <v>105</v>
      </c>
      <c r="W18" s="1">
        <v>3.23874711990356</v>
      </c>
      <c r="X18" s="1">
        <v>4000</v>
      </c>
      <c r="Y18" s="2">
        <v>0</v>
      </c>
      <c r="Z18" s="1">
        <f t="shared" si="8"/>
        <v>0</v>
      </c>
      <c r="AA18" s="1">
        <f t="shared" si="9"/>
        <v>0</v>
      </c>
      <c r="AH18" s="2">
        <v>0</v>
      </c>
      <c r="AM18" s="1" t="str">
        <f t="shared" si="0"/>
        <v/>
      </c>
      <c r="AN18" s="1" t="str">
        <f>IF(W14=1,V14,"")</f>
        <v/>
      </c>
      <c r="AO18" s="1" t="str">
        <f t="shared" si="12"/>
        <v/>
      </c>
      <c r="AP18" s="1" t="str">
        <f t="shared" si="13"/>
        <v/>
      </c>
      <c r="AR18" s="1" t="str">
        <f>INDEX(AM18:AP50,1+INT((ROW(AM18)-1)/COLUMNS(AM18:AP50)),MOD(ROW(AM18)-1+COLUMNS(AM18:AP50),COLUMNS(AM18:AP50))+1)</f>
        <v/>
      </c>
    </row>
    <row r="19" spans="2:44" x14ac:dyDescent="0.25">
      <c r="B19" s="1">
        <v>66</v>
      </c>
      <c r="C19" s="1" t="s">
        <v>34</v>
      </c>
      <c r="D19" s="1">
        <v>3.73197174072265</v>
      </c>
      <c r="E19" s="1">
        <v>5800</v>
      </c>
      <c r="F19" s="2">
        <v>0</v>
      </c>
      <c r="G19" s="1">
        <f t="shared" si="4"/>
        <v>0</v>
      </c>
      <c r="H19" s="1">
        <f t="shared" si="5"/>
        <v>0</v>
      </c>
      <c r="L19" s="1">
        <v>122</v>
      </c>
      <c r="M19" s="3" t="s">
        <v>18</v>
      </c>
      <c r="N19" s="1">
        <v>3.73197174072265</v>
      </c>
      <c r="O19" s="1">
        <v>3200</v>
      </c>
      <c r="P19" s="2">
        <v>1</v>
      </c>
      <c r="Q19" s="1">
        <f t="shared" si="6"/>
        <v>3.73197174072265</v>
      </c>
      <c r="R19" s="1">
        <f t="shared" si="7"/>
        <v>3200</v>
      </c>
      <c r="U19" s="1">
        <v>136</v>
      </c>
      <c r="V19" s="1" t="s">
        <v>107</v>
      </c>
      <c r="W19" s="1">
        <v>2.4976744651794398</v>
      </c>
      <c r="X19" s="1">
        <v>4800</v>
      </c>
      <c r="Y19" s="2">
        <v>0</v>
      </c>
      <c r="Z19" s="1">
        <f t="shared" si="8"/>
        <v>0</v>
      </c>
      <c r="AA19" s="1">
        <f t="shared" si="9"/>
        <v>0</v>
      </c>
      <c r="AE19" s="1">
        <f>6.571+1.5+5.07+1.5+5.053+0.675+4.965+1.985+5.024</f>
        <v>32.342999999999996</v>
      </c>
      <c r="AF19" s="1">
        <f>50000-7800-2800-7600-2800-8000-2700-6300-2800-5900</f>
        <v>3300</v>
      </c>
      <c r="AH19" s="2">
        <v>0</v>
      </c>
      <c r="AM19" s="1" t="str">
        <f t="shared" si="0"/>
        <v/>
      </c>
      <c r="AN19" s="1" t="str">
        <f>IF(W15=1,V15,"")</f>
        <v/>
      </c>
      <c r="AO19" s="1" t="str">
        <f t="shared" si="12"/>
        <v/>
      </c>
      <c r="AP19" s="1" t="str">
        <f t="shared" si="13"/>
        <v/>
      </c>
      <c r="AR19" s="1" t="str">
        <f>INDEX(AM19:AP50,1+INT((ROW(AM19)-1)/COLUMNS(AM19:AP50)),MOD(ROW(AM19)-1+COLUMNS(AM19:AP50),COLUMNS(AM19:AP50))+1)</f>
        <v/>
      </c>
    </row>
    <row r="20" spans="2:44" x14ac:dyDescent="0.25">
      <c r="B20" s="1">
        <v>34</v>
      </c>
      <c r="C20" s="1" t="s">
        <v>9</v>
      </c>
      <c r="D20" s="1">
        <v>3.73197174072265</v>
      </c>
      <c r="E20" s="1">
        <v>5300</v>
      </c>
      <c r="F20" s="2">
        <v>0</v>
      </c>
      <c r="G20" s="1">
        <f t="shared" si="4"/>
        <v>0</v>
      </c>
      <c r="H20" s="1">
        <f t="shared" si="5"/>
        <v>0</v>
      </c>
      <c r="L20" s="1">
        <v>82</v>
      </c>
      <c r="M20" s="1" t="s">
        <v>89</v>
      </c>
      <c r="N20" s="1">
        <v>3.73197174072265</v>
      </c>
      <c r="O20" s="1">
        <v>5300</v>
      </c>
      <c r="P20" s="2">
        <v>0</v>
      </c>
      <c r="Q20" s="1">
        <f t="shared" si="6"/>
        <v>0</v>
      </c>
      <c r="R20" s="1">
        <f t="shared" si="7"/>
        <v>0</v>
      </c>
      <c r="U20" s="1">
        <v>42</v>
      </c>
      <c r="V20" s="1" t="s">
        <v>106</v>
      </c>
      <c r="W20" s="1">
        <v>2.4976744651794398</v>
      </c>
      <c r="X20" s="1">
        <v>5200</v>
      </c>
      <c r="Y20" s="2">
        <v>0</v>
      </c>
      <c r="Z20" s="1">
        <f t="shared" si="8"/>
        <v>0</v>
      </c>
      <c r="AA20" s="1">
        <f t="shared" si="9"/>
        <v>0</v>
      </c>
      <c r="AH20" s="2">
        <v>0</v>
      </c>
      <c r="AM20" s="1" t="str">
        <f t="shared" si="0"/>
        <v/>
      </c>
      <c r="AN20" s="1" t="str">
        <f>IF(W16=1,V16,"")</f>
        <v/>
      </c>
      <c r="AO20" s="1" t="str">
        <f t="shared" si="12"/>
        <v/>
      </c>
      <c r="AP20" s="1" t="str">
        <f t="shared" si="13"/>
        <v/>
      </c>
      <c r="AR20" s="1" t="str">
        <f>INDEX(AM20:AP50,1+INT((ROW(AM20)-1)/COLUMNS(AM20:AP50)),MOD(ROW(AM20)-1+COLUMNS(AM20:AP50),COLUMNS(AM20:AP50))+1)</f>
        <v/>
      </c>
    </row>
    <row r="21" spans="2:44" x14ac:dyDescent="0.25">
      <c r="B21" s="1">
        <v>123</v>
      </c>
      <c r="C21" s="1" t="s">
        <v>19</v>
      </c>
      <c r="D21" s="1">
        <v>3.7192542552947998</v>
      </c>
      <c r="E21" s="1">
        <v>6700</v>
      </c>
      <c r="F21" s="2">
        <v>0</v>
      </c>
      <c r="G21" s="1">
        <f t="shared" si="4"/>
        <v>0</v>
      </c>
      <c r="H21" s="1">
        <f t="shared" si="5"/>
        <v>0</v>
      </c>
      <c r="L21" s="1">
        <v>56</v>
      </c>
      <c r="M21" s="1" t="s">
        <v>31</v>
      </c>
      <c r="N21" s="1">
        <v>3.73197174072265</v>
      </c>
      <c r="O21" s="1">
        <v>4100</v>
      </c>
      <c r="P21" s="2">
        <v>0</v>
      </c>
      <c r="Q21" s="1">
        <f t="shared" si="6"/>
        <v>0</v>
      </c>
      <c r="R21" s="1">
        <f t="shared" si="7"/>
        <v>0</v>
      </c>
      <c r="U21" s="1">
        <v>113</v>
      </c>
      <c r="V21" s="1" t="s">
        <v>109</v>
      </c>
      <c r="W21" s="1">
        <v>2.2729620933532702</v>
      </c>
      <c r="X21" s="1">
        <v>3300</v>
      </c>
      <c r="Y21" s="2">
        <v>0</v>
      </c>
      <c r="Z21" s="1">
        <f t="shared" si="8"/>
        <v>0</v>
      </c>
      <c r="AA21" s="1">
        <f t="shared" si="9"/>
        <v>0</v>
      </c>
      <c r="AH21" s="2">
        <v>0</v>
      </c>
      <c r="AM21" s="1" t="str">
        <f t="shared" si="0"/>
        <v/>
      </c>
      <c r="AN21" s="1" t="str">
        <f>IF(W17=1,V17,"")</f>
        <v/>
      </c>
      <c r="AO21" s="1" t="str">
        <f t="shared" si="12"/>
        <v/>
      </c>
      <c r="AP21" s="1" t="str">
        <f t="shared" si="13"/>
        <v/>
      </c>
      <c r="AR21" s="1" t="str">
        <f>INDEX(AM21:AP50,1+INT((ROW(AM21)-1)/COLUMNS(AM21:AP50)),MOD(ROW(AM21)-1+COLUMNS(AM21:AP50),COLUMNS(AM21:AP50))+1)</f>
        <v/>
      </c>
    </row>
    <row r="22" spans="2:44" x14ac:dyDescent="0.25">
      <c r="B22" s="1">
        <v>18</v>
      </c>
      <c r="C22" s="1" t="s">
        <v>8</v>
      </c>
      <c r="D22" s="1">
        <v>3.7192542552947998</v>
      </c>
      <c r="E22" s="1">
        <v>5800</v>
      </c>
      <c r="F22" s="2">
        <v>0</v>
      </c>
      <c r="G22" s="1">
        <f t="shared" si="4"/>
        <v>0</v>
      </c>
      <c r="H22" s="1">
        <f t="shared" si="5"/>
        <v>0</v>
      </c>
      <c r="L22" s="1">
        <v>29</v>
      </c>
      <c r="M22" s="1" t="s">
        <v>90</v>
      </c>
      <c r="N22" s="1">
        <v>3.73197174072265</v>
      </c>
      <c r="O22" s="1">
        <v>3800</v>
      </c>
      <c r="P22" s="2">
        <v>0</v>
      </c>
      <c r="Q22" s="1">
        <f t="shared" si="6"/>
        <v>0</v>
      </c>
      <c r="R22" s="1">
        <f t="shared" si="7"/>
        <v>0</v>
      </c>
      <c r="U22" s="1">
        <v>165</v>
      </c>
      <c r="V22" s="1" t="s">
        <v>108</v>
      </c>
      <c r="W22" s="1">
        <v>2.2729620933532702</v>
      </c>
      <c r="X22" s="1">
        <v>3100</v>
      </c>
      <c r="Y22" s="2">
        <v>0</v>
      </c>
      <c r="Z22" s="1">
        <f t="shared" si="8"/>
        <v>0</v>
      </c>
      <c r="AA22" s="1">
        <f t="shared" si="9"/>
        <v>0</v>
      </c>
      <c r="AH22" s="2">
        <v>0</v>
      </c>
      <c r="AM22" s="1" t="str">
        <f t="shared" si="0"/>
        <v/>
      </c>
      <c r="AN22" s="1" t="str">
        <f>IF(W18=1,V18,"")</f>
        <v/>
      </c>
      <c r="AO22" s="1" t="str">
        <f t="shared" si="12"/>
        <v/>
      </c>
      <c r="AP22" s="1" t="str">
        <f t="shared" si="13"/>
        <v/>
      </c>
      <c r="AR22" s="1" t="str">
        <f>INDEX(AM22:AP50,1+INT((ROW(AM22)-1)/COLUMNS(AM22:AP50)),MOD(ROW(AM22)-1+COLUMNS(AM22:AP50),COLUMNS(AM22:AP50))+1)</f>
        <v/>
      </c>
    </row>
    <row r="23" spans="2:44" x14ac:dyDescent="0.25">
      <c r="B23" s="1">
        <v>86</v>
      </c>
      <c r="C23" s="1" t="s">
        <v>14</v>
      </c>
      <c r="D23" s="1">
        <v>3.7192542552947998</v>
      </c>
      <c r="E23" s="1">
        <v>5000</v>
      </c>
      <c r="F23" s="2">
        <v>0</v>
      </c>
      <c r="G23" s="1">
        <f t="shared" si="4"/>
        <v>0</v>
      </c>
      <c r="H23" s="1">
        <f t="shared" si="5"/>
        <v>0</v>
      </c>
      <c r="L23" s="1">
        <v>64</v>
      </c>
      <c r="M23" s="1" t="s">
        <v>88</v>
      </c>
      <c r="N23" s="1">
        <v>3.73197174072265</v>
      </c>
      <c r="O23" s="1">
        <v>4500</v>
      </c>
      <c r="P23" s="2">
        <v>0</v>
      </c>
      <c r="Q23" s="1">
        <f t="shared" si="6"/>
        <v>0</v>
      </c>
      <c r="R23" s="1">
        <f t="shared" si="7"/>
        <v>0</v>
      </c>
      <c r="U23" s="1">
        <v>143</v>
      </c>
      <c r="V23" s="1" t="s">
        <v>60</v>
      </c>
      <c r="W23" s="1">
        <v>2.2729620933532702</v>
      </c>
      <c r="X23" s="1">
        <v>4400</v>
      </c>
      <c r="Y23" s="2">
        <v>0</v>
      </c>
      <c r="Z23" s="1">
        <f t="shared" si="8"/>
        <v>0</v>
      </c>
      <c r="AA23" s="1">
        <f t="shared" si="9"/>
        <v>0</v>
      </c>
      <c r="AF23" s="1">
        <f>3300+2700+2800*3</f>
        <v>14400</v>
      </c>
      <c r="AH23" s="2">
        <v>0</v>
      </c>
      <c r="AM23" s="1" t="str">
        <f t="shared" si="0"/>
        <v/>
      </c>
      <c r="AN23" s="1" t="str">
        <f>IF(W19=1,V19,"")</f>
        <v/>
      </c>
      <c r="AO23" s="1" t="str">
        <f t="shared" si="12"/>
        <v/>
      </c>
      <c r="AP23" s="1" t="str">
        <f t="shared" si="13"/>
        <v/>
      </c>
      <c r="AR23" s="1" t="str">
        <f>INDEX(AM23:AP50,1+INT((ROW(AM23)-1)/COLUMNS(AM23:AP50)),MOD(ROW(AM23)-1+COLUMNS(AM23:AP50),COLUMNS(AM23:AP50))+1)</f>
        <v/>
      </c>
    </row>
    <row r="24" spans="2:44" x14ac:dyDescent="0.25">
      <c r="B24" s="1">
        <v>50</v>
      </c>
      <c r="C24" s="1" t="s">
        <v>11</v>
      </c>
      <c r="D24" s="1">
        <v>3.7192542552947998</v>
      </c>
      <c r="E24" s="1">
        <v>7000</v>
      </c>
      <c r="F24" s="2">
        <v>0</v>
      </c>
      <c r="G24" s="1">
        <f t="shared" si="4"/>
        <v>0</v>
      </c>
      <c r="H24" s="1">
        <f t="shared" si="5"/>
        <v>0</v>
      </c>
      <c r="L24" s="1">
        <v>73</v>
      </c>
      <c r="M24" s="1" t="s">
        <v>35</v>
      </c>
      <c r="N24" s="1">
        <v>3.7192542552947998</v>
      </c>
      <c r="O24" s="1">
        <v>6100</v>
      </c>
      <c r="P24" s="2">
        <v>0</v>
      </c>
      <c r="Q24" s="1">
        <f t="shared" si="6"/>
        <v>0</v>
      </c>
      <c r="R24" s="1">
        <f t="shared" si="7"/>
        <v>0</v>
      </c>
      <c r="U24" s="1">
        <v>19</v>
      </c>
      <c r="V24" s="1" t="s">
        <v>149</v>
      </c>
      <c r="W24" s="1">
        <v>2.2729620933532702</v>
      </c>
      <c r="X24" s="1">
        <v>4100</v>
      </c>
      <c r="Y24" s="2">
        <v>0</v>
      </c>
      <c r="Z24" s="1">
        <f t="shared" si="8"/>
        <v>0</v>
      </c>
      <c r="AA24" s="1">
        <f t="shared" si="9"/>
        <v>0</v>
      </c>
      <c r="AH24" s="2">
        <v>0</v>
      </c>
      <c r="AM24" s="1" t="str">
        <f t="shared" si="0"/>
        <v/>
      </c>
      <c r="AN24" s="1" t="str">
        <f>IF(W20=1,V20,"")</f>
        <v/>
      </c>
      <c r="AO24" s="1" t="str">
        <f t="shared" si="12"/>
        <v/>
      </c>
      <c r="AP24" s="1" t="str">
        <f t="shared" si="13"/>
        <v/>
      </c>
      <c r="AR24" s="1" t="str">
        <f>INDEX(AM24:AP50,1+INT((ROW(AM24)-1)/COLUMNS(AM24:AP50)),MOD(ROW(AM24)-1+COLUMNS(AM24:AP50),COLUMNS(AM24:AP50))+1)</f>
        <v/>
      </c>
    </row>
    <row r="25" spans="2:44" x14ac:dyDescent="0.25">
      <c r="B25" s="1">
        <v>97</v>
      </c>
      <c r="C25" s="1" t="s">
        <v>132</v>
      </c>
      <c r="D25" s="1">
        <v>3.7192542552947998</v>
      </c>
      <c r="E25" s="1">
        <v>5600</v>
      </c>
      <c r="F25" s="2">
        <v>0</v>
      </c>
      <c r="G25" s="1">
        <f t="shared" si="4"/>
        <v>0</v>
      </c>
      <c r="H25" s="1">
        <f t="shared" si="5"/>
        <v>0</v>
      </c>
      <c r="L25" s="1">
        <v>17</v>
      </c>
      <c r="M25" s="1" t="s">
        <v>30</v>
      </c>
      <c r="N25" s="1">
        <v>3.7192542552947998</v>
      </c>
      <c r="O25" s="1">
        <v>5600</v>
      </c>
      <c r="P25" s="2">
        <v>0</v>
      </c>
      <c r="Q25" s="1">
        <f t="shared" si="6"/>
        <v>0</v>
      </c>
      <c r="R25" s="1">
        <f t="shared" si="7"/>
        <v>0</v>
      </c>
      <c r="U25" s="1">
        <v>55</v>
      </c>
      <c r="V25" s="1" t="s">
        <v>52</v>
      </c>
      <c r="W25" s="1">
        <v>2.1965663433074898</v>
      </c>
      <c r="X25" s="1">
        <v>4700</v>
      </c>
      <c r="Y25" s="2">
        <v>0</v>
      </c>
      <c r="Z25" s="1">
        <f t="shared" si="8"/>
        <v>0</v>
      </c>
      <c r="AA25" s="1">
        <f t="shared" si="9"/>
        <v>0</v>
      </c>
      <c r="AH25" s="2">
        <v>0</v>
      </c>
      <c r="AM25" s="1" t="str">
        <f t="shared" si="0"/>
        <v/>
      </c>
      <c r="AN25" s="1" t="str">
        <f>IF(W21=1,V21,"")</f>
        <v/>
      </c>
      <c r="AO25" s="1" t="str">
        <f t="shared" si="12"/>
        <v/>
      </c>
      <c r="AP25" s="1" t="str">
        <f t="shared" si="13"/>
        <v/>
      </c>
      <c r="AR25" s="1" t="str">
        <f>INDEX(AM25:AP50,1+INT((ROW(AM25)-1)/COLUMNS(AM25:AP50)),MOD(ROW(AM25)-1+COLUMNS(AM25:AP50),COLUMNS(AM25:AP50))+1)</f>
        <v/>
      </c>
    </row>
    <row r="26" spans="2:44" x14ac:dyDescent="0.25">
      <c r="B26" s="1">
        <v>37</v>
      </c>
      <c r="C26" t="s">
        <v>131</v>
      </c>
      <c r="D26" s="1">
        <v>3.7192542552947998</v>
      </c>
      <c r="E26" s="1">
        <v>5200</v>
      </c>
      <c r="F26" s="2">
        <v>0</v>
      </c>
      <c r="G26" s="1">
        <f t="shared" si="4"/>
        <v>0</v>
      </c>
      <c r="H26" s="1">
        <f t="shared" si="5"/>
        <v>0</v>
      </c>
      <c r="L26" s="1">
        <v>88</v>
      </c>
      <c r="M26" s="1" t="s">
        <v>37</v>
      </c>
      <c r="N26" s="1">
        <v>3.4284596443176198</v>
      </c>
      <c r="O26" s="1">
        <v>6900</v>
      </c>
      <c r="P26" s="2">
        <v>0</v>
      </c>
      <c r="Q26" s="1">
        <f t="shared" si="6"/>
        <v>0</v>
      </c>
      <c r="R26" s="1">
        <f t="shared" si="7"/>
        <v>0</v>
      </c>
      <c r="U26" s="1">
        <v>90</v>
      </c>
      <c r="V26" s="1" t="s">
        <v>150</v>
      </c>
      <c r="W26" s="1">
        <v>1.9973000288009599</v>
      </c>
      <c r="X26" s="1">
        <v>4900</v>
      </c>
      <c r="Y26" s="2">
        <v>0</v>
      </c>
      <c r="Z26" s="1">
        <f t="shared" si="8"/>
        <v>0</v>
      </c>
      <c r="AA26" s="1">
        <f t="shared" si="9"/>
        <v>0</v>
      </c>
      <c r="AF26" s="2">
        <f>100+2800</f>
        <v>2900</v>
      </c>
      <c r="AH26" s="2">
        <v>0</v>
      </c>
      <c r="AM26" s="1" t="str">
        <f t="shared" si="0"/>
        <v/>
      </c>
      <c r="AN26" s="1" t="str">
        <f>IF(W22=1,V22,"")</f>
        <v/>
      </c>
      <c r="AO26" s="1" t="str">
        <f t="shared" si="12"/>
        <v/>
      </c>
      <c r="AP26" s="1" t="str">
        <f t="shared" si="13"/>
        <v/>
      </c>
      <c r="AR26" s="1" t="str">
        <f>INDEX(AM26:AP50,1+INT((ROW(AM26)-1)/COLUMNS(AM26:AP50)),MOD(ROW(AM26)-1+COLUMNS(AM26:AP50),COLUMNS(AM26:AP50))+1)</f>
        <v/>
      </c>
    </row>
    <row r="27" spans="2:44" x14ac:dyDescent="0.25">
      <c r="B27" s="1">
        <v>135</v>
      </c>
      <c r="C27" s="1" t="s">
        <v>22</v>
      </c>
      <c r="D27" s="1">
        <v>3.53362536430358</v>
      </c>
      <c r="E27" s="1">
        <v>5500</v>
      </c>
      <c r="F27" s="2">
        <v>0</v>
      </c>
      <c r="G27" s="1">
        <f t="shared" si="4"/>
        <v>0</v>
      </c>
      <c r="H27" s="1">
        <f t="shared" si="5"/>
        <v>0</v>
      </c>
      <c r="L27" s="1">
        <v>188</v>
      </c>
      <c r="M27" s="1" t="s">
        <v>43</v>
      </c>
      <c r="N27" s="1">
        <v>3.4284596443176198</v>
      </c>
      <c r="O27" s="1">
        <v>6000</v>
      </c>
      <c r="P27" s="2">
        <v>0</v>
      </c>
      <c r="Q27" s="1">
        <f t="shared" si="6"/>
        <v>0</v>
      </c>
      <c r="R27" s="1">
        <f t="shared" si="7"/>
        <v>0</v>
      </c>
      <c r="U27" s="1">
        <v>160</v>
      </c>
      <c r="V27" s="1" t="s">
        <v>110</v>
      </c>
      <c r="W27" s="1">
        <v>1.9973000288009599</v>
      </c>
      <c r="X27" s="1">
        <v>5300</v>
      </c>
      <c r="Y27" s="2">
        <v>0</v>
      </c>
      <c r="Z27" s="1">
        <f t="shared" si="8"/>
        <v>0</v>
      </c>
      <c r="AA27" s="1">
        <f t="shared" si="9"/>
        <v>0</v>
      </c>
      <c r="AH27" s="2">
        <v>0</v>
      </c>
      <c r="AM27" s="1" t="str">
        <f t="shared" si="0"/>
        <v/>
      </c>
      <c r="AN27" s="1" t="str">
        <f>IF(W23=1,V23,"")</f>
        <v/>
      </c>
      <c r="AO27" s="1" t="str">
        <f t="shared" si="12"/>
        <v/>
      </c>
      <c r="AP27" s="1" t="str">
        <f t="shared" si="13"/>
        <v/>
      </c>
      <c r="AR27" s="1" t="str">
        <f>INDEX(AM27:AP50,1+INT((ROW(AM27)-1)/COLUMNS(AM27:AP50)),MOD(ROW(AM27)-1+COLUMNS(AM27:AP50),COLUMNS(AM27:AP50))+1)</f>
        <v/>
      </c>
    </row>
    <row r="28" spans="2:44" x14ac:dyDescent="0.25">
      <c r="B28" s="1">
        <v>190</v>
      </c>
      <c r="C28" s="1" t="s">
        <v>133</v>
      </c>
      <c r="D28" s="1">
        <v>3.4284596443176198</v>
      </c>
      <c r="E28" s="1">
        <v>6200</v>
      </c>
      <c r="F28" s="2">
        <v>0</v>
      </c>
      <c r="G28" s="1">
        <f t="shared" si="4"/>
        <v>0</v>
      </c>
      <c r="H28" s="1">
        <f t="shared" si="5"/>
        <v>0</v>
      </c>
      <c r="L28" s="1">
        <v>67</v>
      </c>
      <c r="M28" s="1" t="s">
        <v>142</v>
      </c>
      <c r="N28" s="1">
        <v>3.2381241321563698</v>
      </c>
      <c r="O28" s="1">
        <v>4900</v>
      </c>
      <c r="P28" s="2">
        <v>0</v>
      </c>
      <c r="Q28" s="1">
        <f t="shared" si="6"/>
        <v>0</v>
      </c>
      <c r="R28" s="1">
        <f t="shared" si="7"/>
        <v>0</v>
      </c>
      <c r="U28" s="1">
        <v>150</v>
      </c>
      <c r="V28" s="1" t="s">
        <v>111</v>
      </c>
      <c r="W28" s="1">
        <v>1.9973000288009599</v>
      </c>
      <c r="X28" s="1">
        <v>3000</v>
      </c>
      <c r="Y28" s="2">
        <v>0</v>
      </c>
      <c r="Z28" s="1">
        <f t="shared" si="8"/>
        <v>0</v>
      </c>
      <c r="AA28" s="1">
        <f t="shared" si="9"/>
        <v>0</v>
      </c>
      <c r="AH28" s="2">
        <v>0</v>
      </c>
      <c r="AM28" s="1" t="str">
        <f t="shared" si="0"/>
        <v/>
      </c>
      <c r="AN28" s="1" t="str">
        <f>IF(W24=1,V24,"")</f>
        <v/>
      </c>
      <c r="AO28" s="1" t="str">
        <f t="shared" si="12"/>
        <v/>
      </c>
      <c r="AP28" s="1" t="str">
        <f t="shared" si="13"/>
        <v/>
      </c>
      <c r="AR28" s="1" t="str">
        <f>INDEX(AM28:AP50,1+INT((ROW(AM28)-1)/COLUMNS(AM28:AP50)),MOD(ROW(AM28)-1+COLUMNS(AM28:AP50),COLUMNS(AM28:AP50))+1)</f>
        <v/>
      </c>
    </row>
    <row r="29" spans="2:44" x14ac:dyDescent="0.25">
      <c r="B29" s="1">
        <v>87</v>
      </c>
      <c r="C29" s="1" t="s">
        <v>36</v>
      </c>
      <c r="D29" s="1">
        <v>3.4284596443176198</v>
      </c>
      <c r="E29" s="1">
        <v>3900</v>
      </c>
      <c r="F29" s="2">
        <v>0</v>
      </c>
      <c r="G29" s="1">
        <f t="shared" si="4"/>
        <v>0</v>
      </c>
      <c r="H29" s="1">
        <f t="shared" si="5"/>
        <v>0</v>
      </c>
      <c r="L29" s="1">
        <v>173</v>
      </c>
      <c r="M29" s="1" t="s">
        <v>91</v>
      </c>
      <c r="N29" s="1">
        <v>3.2381241321563698</v>
      </c>
      <c r="O29" s="1">
        <v>4000</v>
      </c>
      <c r="P29" s="2">
        <v>0</v>
      </c>
      <c r="Q29" s="1">
        <f t="shared" si="6"/>
        <v>0</v>
      </c>
      <c r="R29" s="1">
        <f t="shared" si="7"/>
        <v>0</v>
      </c>
      <c r="U29" s="1">
        <v>200</v>
      </c>
      <c r="V29" t="s">
        <v>112</v>
      </c>
      <c r="W29" s="1">
        <v>1.9852498769760101</v>
      </c>
      <c r="X29" s="1">
        <v>2800</v>
      </c>
      <c r="Y29" s="2">
        <v>0</v>
      </c>
      <c r="Z29" s="1">
        <f t="shared" si="8"/>
        <v>0</v>
      </c>
      <c r="AA29" s="1">
        <f t="shared" si="9"/>
        <v>0</v>
      </c>
      <c r="AE29" s="1">
        <f>14400/4</f>
        <v>3600</v>
      </c>
      <c r="AH29" s="2">
        <v>0</v>
      </c>
      <c r="AM29" s="1" t="str">
        <f t="shared" si="0"/>
        <v/>
      </c>
      <c r="AN29" s="1" t="str">
        <f>IF(W25=1,V25,"")</f>
        <v/>
      </c>
      <c r="AO29" s="1" t="str">
        <f t="shared" si="12"/>
        <v/>
      </c>
      <c r="AP29" s="1" t="str">
        <f t="shared" si="13"/>
        <v/>
      </c>
      <c r="AR29" s="1" t="str">
        <f>INDEX(AM29:AP50,1+INT((ROW(AM29)-1)/COLUMNS(AM29:AP50)),MOD(ROW(AM29)-1+COLUMNS(AM29:AP50),COLUMNS(AM29:AP50))+1)</f>
        <v/>
      </c>
    </row>
    <row r="30" spans="2:44" x14ac:dyDescent="0.25">
      <c r="B30" s="1">
        <v>183</v>
      </c>
      <c r="C30" s="1" t="s">
        <v>74</v>
      </c>
      <c r="D30" s="1">
        <v>3.4284596443176198</v>
      </c>
      <c r="E30" s="1">
        <v>6600</v>
      </c>
      <c r="F30" s="2">
        <v>0</v>
      </c>
      <c r="G30" s="1">
        <f t="shared" si="4"/>
        <v>0</v>
      </c>
      <c r="H30" s="1">
        <f t="shared" si="5"/>
        <v>0</v>
      </c>
      <c r="L30" s="1">
        <v>45</v>
      </c>
      <c r="M30" s="1" t="s">
        <v>143</v>
      </c>
      <c r="N30" s="1">
        <v>3.1358857154846098</v>
      </c>
      <c r="O30" s="1">
        <v>4700</v>
      </c>
      <c r="P30" s="2">
        <v>0</v>
      </c>
      <c r="Q30" s="1">
        <f t="shared" si="6"/>
        <v>0</v>
      </c>
      <c r="R30" s="1">
        <f t="shared" si="7"/>
        <v>0</v>
      </c>
      <c r="U30" s="1">
        <v>16</v>
      </c>
      <c r="V30" s="1" t="s">
        <v>47</v>
      </c>
      <c r="W30" s="1">
        <v>1.9852498769760101</v>
      </c>
      <c r="X30" s="1">
        <v>4300</v>
      </c>
      <c r="Y30" s="2">
        <v>0</v>
      </c>
      <c r="Z30" s="1">
        <f t="shared" si="8"/>
        <v>0</v>
      </c>
      <c r="AA30" s="1">
        <f t="shared" si="9"/>
        <v>0</v>
      </c>
      <c r="AH30" s="2">
        <v>0</v>
      </c>
      <c r="AM30" s="1" t="str">
        <f t="shared" si="0"/>
        <v/>
      </c>
      <c r="AN30" s="1" t="str">
        <f>IF(W26=1,V26,"")</f>
        <v/>
      </c>
      <c r="AO30" s="1" t="str">
        <f t="shared" si="12"/>
        <v/>
      </c>
      <c r="AP30" s="1" t="str">
        <f t="shared" si="13"/>
        <v/>
      </c>
    </row>
    <row r="31" spans="2:44" x14ac:dyDescent="0.25">
      <c r="B31" s="1">
        <v>96</v>
      </c>
      <c r="C31" s="1" t="s">
        <v>73</v>
      </c>
      <c r="D31" s="1">
        <v>3.4284596443176198</v>
      </c>
      <c r="E31" s="1">
        <v>6100</v>
      </c>
      <c r="F31" s="2">
        <v>0</v>
      </c>
      <c r="G31" s="1">
        <f t="shared" si="4"/>
        <v>0</v>
      </c>
      <c r="H31" s="1">
        <f t="shared" si="5"/>
        <v>0</v>
      </c>
      <c r="L31" s="1">
        <v>91</v>
      </c>
      <c r="M31" s="1" t="s">
        <v>38</v>
      </c>
      <c r="N31" s="1">
        <v>1.8686649799346899</v>
      </c>
      <c r="O31" s="1">
        <v>3200</v>
      </c>
      <c r="P31" s="2">
        <v>0</v>
      </c>
      <c r="Q31" s="1">
        <f t="shared" si="6"/>
        <v>0</v>
      </c>
      <c r="R31" s="1">
        <f t="shared" si="7"/>
        <v>0</v>
      </c>
      <c r="U31" s="1">
        <v>13</v>
      </c>
      <c r="V31" s="1" t="s">
        <v>151</v>
      </c>
      <c r="W31" s="1">
        <v>1.9852498769760101</v>
      </c>
      <c r="X31" s="1">
        <v>4400</v>
      </c>
      <c r="Y31" s="2">
        <v>0</v>
      </c>
      <c r="Z31" s="1">
        <f t="shared" si="8"/>
        <v>0</v>
      </c>
      <c r="AA31" s="1">
        <f t="shared" si="9"/>
        <v>0</v>
      </c>
      <c r="AH31" s="2">
        <v>0</v>
      </c>
      <c r="AM31" s="1" t="str">
        <f t="shared" si="0"/>
        <v/>
      </c>
      <c r="AN31" s="1" t="str">
        <f>IF(W27=1,V27,"")</f>
        <v/>
      </c>
      <c r="AO31" s="1" t="str">
        <f t="shared" si="12"/>
        <v/>
      </c>
      <c r="AP31" s="1" t="str">
        <f t="shared" si="13"/>
        <v/>
      </c>
    </row>
    <row r="32" spans="2:44" x14ac:dyDescent="0.25">
      <c r="B32" s="1">
        <v>195</v>
      </c>
      <c r="C32" s="1" t="s">
        <v>134</v>
      </c>
      <c r="D32" s="1">
        <v>3.2381241321563698</v>
      </c>
      <c r="E32" s="1">
        <v>4500</v>
      </c>
      <c r="F32" s="2">
        <v>0</v>
      </c>
      <c r="G32" s="1">
        <f t="shared" si="4"/>
        <v>0</v>
      </c>
      <c r="H32" s="1">
        <f t="shared" si="5"/>
        <v>0</v>
      </c>
      <c r="L32" s="1">
        <v>156</v>
      </c>
      <c r="M32" s="1" t="s">
        <v>93</v>
      </c>
      <c r="N32" s="1">
        <v>1.7510126829147299</v>
      </c>
      <c r="O32" s="1">
        <v>3600</v>
      </c>
      <c r="P32" s="2">
        <v>0</v>
      </c>
      <c r="Q32" s="1">
        <f t="shared" si="6"/>
        <v>0</v>
      </c>
      <c r="R32" s="1">
        <f t="shared" si="7"/>
        <v>0</v>
      </c>
      <c r="U32" s="1">
        <v>11</v>
      </c>
      <c r="V32" s="1" t="s">
        <v>154</v>
      </c>
      <c r="W32" s="1">
        <v>1.9852498769760101</v>
      </c>
      <c r="X32" s="1">
        <v>4200</v>
      </c>
      <c r="Y32" s="2">
        <v>0</v>
      </c>
      <c r="Z32" s="1">
        <f t="shared" si="8"/>
        <v>0</v>
      </c>
      <c r="AA32" s="1">
        <f t="shared" si="9"/>
        <v>0</v>
      </c>
      <c r="AH32" s="2">
        <v>0</v>
      </c>
      <c r="AM32" s="1" t="str">
        <f t="shared" si="0"/>
        <v/>
      </c>
      <c r="AN32" s="1" t="str">
        <f>IF(W28=1,V28,"")</f>
        <v/>
      </c>
      <c r="AO32" s="1" t="str">
        <f t="shared" si="12"/>
        <v/>
      </c>
      <c r="AP32" s="1" t="str">
        <f t="shared" si="13"/>
        <v/>
      </c>
    </row>
    <row r="33" spans="2:42" x14ac:dyDescent="0.25">
      <c r="B33" s="1">
        <v>93</v>
      </c>
      <c r="C33" s="1" t="s">
        <v>39</v>
      </c>
      <c r="D33" s="1">
        <v>3.1358857154846098</v>
      </c>
      <c r="E33" s="1">
        <v>4300</v>
      </c>
      <c r="F33" s="2">
        <v>0</v>
      </c>
      <c r="G33" s="1">
        <f t="shared" si="4"/>
        <v>0</v>
      </c>
      <c r="H33" s="1">
        <f t="shared" si="5"/>
        <v>0</v>
      </c>
      <c r="L33" s="1">
        <v>48</v>
      </c>
      <c r="M33" s="1" t="s">
        <v>92</v>
      </c>
      <c r="N33" s="1">
        <v>1.7510126829147299</v>
      </c>
      <c r="O33" s="1">
        <v>3100</v>
      </c>
      <c r="P33" s="2">
        <v>0</v>
      </c>
      <c r="Q33" s="1">
        <f t="shared" si="6"/>
        <v>0</v>
      </c>
      <c r="R33" s="1">
        <f t="shared" si="7"/>
        <v>0</v>
      </c>
      <c r="U33" s="1">
        <v>41</v>
      </c>
      <c r="V33" s="1" t="s">
        <v>50</v>
      </c>
      <c r="W33" s="1">
        <v>1.7875797748565601</v>
      </c>
      <c r="X33" s="1">
        <v>2900</v>
      </c>
      <c r="Y33" s="2">
        <v>0</v>
      </c>
      <c r="Z33" s="1">
        <f t="shared" si="8"/>
        <v>0</v>
      </c>
      <c r="AA33" s="1">
        <f t="shared" si="9"/>
        <v>0</v>
      </c>
      <c r="AH33" s="2">
        <v>0</v>
      </c>
      <c r="AM33" s="1" t="str">
        <f t="shared" si="0"/>
        <v/>
      </c>
      <c r="AN33" s="1" t="str">
        <f>IF(W29=1,V29,"")</f>
        <v/>
      </c>
      <c r="AO33" s="1" t="str">
        <f t="shared" si="12"/>
        <v/>
      </c>
      <c r="AP33" s="1" t="str">
        <f t="shared" si="13"/>
        <v/>
      </c>
    </row>
    <row r="34" spans="2:42" x14ac:dyDescent="0.25">
      <c r="B34" s="1">
        <v>75</v>
      </c>
      <c r="C34" s="1" t="s">
        <v>12</v>
      </c>
      <c r="D34" s="1">
        <v>3.1358857154846098</v>
      </c>
      <c r="E34" s="1">
        <v>4900</v>
      </c>
      <c r="F34" s="2">
        <v>0</v>
      </c>
      <c r="G34" s="1">
        <f t="shared" si="4"/>
        <v>0</v>
      </c>
      <c r="H34" s="1">
        <f t="shared" si="5"/>
        <v>0</v>
      </c>
      <c r="L34" s="1">
        <v>38</v>
      </c>
      <c r="M34" s="1" t="s">
        <v>94</v>
      </c>
      <c r="N34" s="1">
        <v>1.7510126829147299</v>
      </c>
      <c r="O34" s="1">
        <v>3000</v>
      </c>
      <c r="P34" s="2">
        <v>0</v>
      </c>
      <c r="Q34" s="1">
        <f t="shared" si="6"/>
        <v>0</v>
      </c>
      <c r="R34" s="1">
        <f t="shared" si="7"/>
        <v>0</v>
      </c>
      <c r="U34" s="1">
        <v>6</v>
      </c>
      <c r="V34" s="1" t="s">
        <v>152</v>
      </c>
      <c r="W34" s="1">
        <v>1.7875797748565601</v>
      </c>
      <c r="X34" s="1">
        <v>3100</v>
      </c>
      <c r="Y34" s="2">
        <v>0</v>
      </c>
      <c r="Z34" s="1">
        <f t="shared" si="8"/>
        <v>0</v>
      </c>
      <c r="AA34" s="1">
        <f t="shared" si="9"/>
        <v>0</v>
      </c>
      <c r="AH34" s="2">
        <v>0</v>
      </c>
      <c r="AM34" s="1" t="str">
        <f t="shared" si="0"/>
        <v/>
      </c>
      <c r="AN34" s="1" t="str">
        <f>IF(W30=1,V30,"")</f>
        <v/>
      </c>
      <c r="AO34" s="1" t="str">
        <f t="shared" si="12"/>
        <v/>
      </c>
      <c r="AP34" s="1" t="str">
        <f t="shared" si="13"/>
        <v/>
      </c>
    </row>
    <row r="35" spans="2:42" x14ac:dyDescent="0.25">
      <c r="B35" s="1">
        <v>132</v>
      </c>
      <c r="C35" s="1" t="s">
        <v>21</v>
      </c>
      <c r="D35" s="1">
        <v>3.1358857154846098</v>
      </c>
      <c r="E35" s="1">
        <v>4100</v>
      </c>
      <c r="F35" s="2">
        <v>0</v>
      </c>
      <c r="G35" s="1">
        <f t="shared" si="4"/>
        <v>0</v>
      </c>
      <c r="H35" s="1">
        <f t="shared" si="5"/>
        <v>0</v>
      </c>
      <c r="L35" s="1">
        <v>21</v>
      </c>
      <c r="M35" s="1" t="s">
        <v>144</v>
      </c>
      <c r="N35" s="1">
        <v>1.7510126829147299</v>
      </c>
      <c r="O35" s="1">
        <v>3900</v>
      </c>
      <c r="P35" s="2">
        <v>0</v>
      </c>
      <c r="Q35" s="1">
        <f t="shared" si="6"/>
        <v>0</v>
      </c>
      <c r="R35" s="1">
        <f t="shared" si="7"/>
        <v>0</v>
      </c>
      <c r="U35" s="1">
        <v>199</v>
      </c>
      <c r="V35" s="1" t="s">
        <v>63</v>
      </c>
      <c r="W35" s="1">
        <v>1.7875797748565601</v>
      </c>
      <c r="X35" s="1">
        <v>3400</v>
      </c>
      <c r="Y35" s="2">
        <v>0</v>
      </c>
      <c r="Z35" s="1">
        <f t="shared" si="8"/>
        <v>0</v>
      </c>
      <c r="AA35" s="1">
        <f t="shared" si="9"/>
        <v>0</v>
      </c>
      <c r="AH35" s="2">
        <v>0</v>
      </c>
      <c r="AM35" s="1" t="str">
        <f t="shared" si="0"/>
        <v/>
      </c>
      <c r="AN35" s="1" t="str">
        <f>IF(W31=1,V31,"")</f>
        <v/>
      </c>
      <c r="AO35" s="1" t="str">
        <f t="shared" si="12"/>
        <v/>
      </c>
      <c r="AP35" s="1" t="str">
        <f t="shared" si="13"/>
        <v/>
      </c>
    </row>
    <row r="36" spans="2:42" x14ac:dyDescent="0.25">
      <c r="B36" s="1">
        <v>0</v>
      </c>
      <c r="C36" s="1" t="s">
        <v>6</v>
      </c>
      <c r="D36" s="1">
        <v>3.1358857154846098</v>
      </c>
      <c r="E36" s="1">
        <v>5100</v>
      </c>
      <c r="F36" s="2">
        <v>0</v>
      </c>
      <c r="G36" s="1">
        <f t="shared" si="4"/>
        <v>0</v>
      </c>
      <c r="H36" s="1">
        <f t="shared" si="5"/>
        <v>0</v>
      </c>
      <c r="L36" s="1">
        <v>8</v>
      </c>
      <c r="M36" s="1" t="s">
        <v>29</v>
      </c>
      <c r="N36" s="1">
        <v>1.5120326280593801</v>
      </c>
      <c r="O36" s="1">
        <v>3000</v>
      </c>
      <c r="P36" s="2">
        <v>0</v>
      </c>
      <c r="Q36" s="1">
        <f t="shared" si="6"/>
        <v>0</v>
      </c>
      <c r="R36" s="1">
        <f t="shared" si="7"/>
        <v>0</v>
      </c>
      <c r="U36" s="1">
        <v>3</v>
      </c>
      <c r="V36" s="1" t="s">
        <v>46</v>
      </c>
      <c r="W36" s="1">
        <v>1.7875797748565601</v>
      </c>
      <c r="X36" s="1">
        <v>3300</v>
      </c>
      <c r="Y36" s="2">
        <v>0</v>
      </c>
      <c r="Z36" s="1">
        <f t="shared" si="8"/>
        <v>0</v>
      </c>
      <c r="AA36" s="1">
        <f t="shared" si="9"/>
        <v>0</v>
      </c>
      <c r="AH36" s="2">
        <v>0</v>
      </c>
      <c r="AM36" s="1" t="str">
        <f t="shared" si="0"/>
        <v/>
      </c>
      <c r="AN36" s="1" t="str">
        <f>IF(W32=1,V32,"")</f>
        <v/>
      </c>
      <c r="AO36" s="1" t="str">
        <f t="shared" si="12"/>
        <v/>
      </c>
      <c r="AP36" s="1" t="str">
        <f t="shared" si="13"/>
        <v/>
      </c>
    </row>
    <row r="37" spans="2:42" x14ac:dyDescent="0.25">
      <c r="B37" s="1">
        <v>179</v>
      </c>
      <c r="C37" s="1" t="s">
        <v>27</v>
      </c>
      <c r="D37" s="1">
        <v>3.1358857154846098</v>
      </c>
      <c r="E37" s="1">
        <v>4400</v>
      </c>
      <c r="F37" s="2">
        <v>0</v>
      </c>
      <c r="G37" s="1">
        <f t="shared" si="4"/>
        <v>0</v>
      </c>
      <c r="H37" s="1">
        <f t="shared" si="5"/>
        <v>0</v>
      </c>
      <c r="L37" s="1">
        <v>166</v>
      </c>
      <c r="M37" s="1" t="s">
        <v>95</v>
      </c>
      <c r="N37" s="1">
        <v>1.2564339637756301</v>
      </c>
      <c r="O37" s="1">
        <v>2800</v>
      </c>
      <c r="P37" s="2">
        <v>0</v>
      </c>
      <c r="Q37" s="1">
        <f t="shared" si="6"/>
        <v>0</v>
      </c>
      <c r="R37" s="1">
        <f t="shared" si="7"/>
        <v>0</v>
      </c>
      <c r="U37" s="1">
        <v>36</v>
      </c>
      <c r="V37" s="1" t="s">
        <v>48</v>
      </c>
      <c r="W37" s="1">
        <v>1.7510126829147299</v>
      </c>
      <c r="X37" s="1">
        <v>4200</v>
      </c>
      <c r="Y37" s="2">
        <v>0</v>
      </c>
      <c r="Z37" s="1">
        <f t="shared" si="8"/>
        <v>0</v>
      </c>
      <c r="AA37" s="1">
        <f t="shared" si="9"/>
        <v>0</v>
      </c>
      <c r="AH37" s="2">
        <v>0</v>
      </c>
      <c r="AM37" s="1" t="str">
        <f t="shared" si="0"/>
        <v/>
      </c>
      <c r="AN37" s="1" t="str">
        <f>IF(W33=1,V33,"")</f>
        <v/>
      </c>
      <c r="AO37" s="1" t="str">
        <f t="shared" si="12"/>
        <v/>
      </c>
      <c r="AP37" s="1" t="str">
        <f t="shared" si="13"/>
        <v/>
      </c>
    </row>
    <row r="38" spans="2:42" x14ac:dyDescent="0.25">
      <c r="B38" s="1">
        <v>152</v>
      </c>
      <c r="C38" s="3" t="s">
        <v>23</v>
      </c>
      <c r="D38" s="1">
        <v>3.1358857154846098</v>
      </c>
      <c r="E38" s="1">
        <v>3200</v>
      </c>
      <c r="F38" s="2">
        <v>1</v>
      </c>
      <c r="G38" s="1">
        <f t="shared" si="4"/>
        <v>3.1358857154846098</v>
      </c>
      <c r="H38" s="1">
        <f t="shared" si="5"/>
        <v>3200</v>
      </c>
      <c r="L38" s="1">
        <v>80</v>
      </c>
      <c r="M38" s="1" t="s">
        <v>96</v>
      </c>
      <c r="N38" s="1">
        <v>1.2564339637756301</v>
      </c>
      <c r="O38" s="1">
        <v>3000</v>
      </c>
      <c r="P38" s="2">
        <v>0</v>
      </c>
      <c r="Q38" s="1">
        <f t="shared" si="6"/>
        <v>0</v>
      </c>
      <c r="R38" s="1">
        <f t="shared" si="7"/>
        <v>0</v>
      </c>
      <c r="U38" s="1">
        <v>180</v>
      </c>
      <c r="V38" s="1" t="s">
        <v>61</v>
      </c>
      <c r="W38" s="1">
        <v>1.7510126829147299</v>
      </c>
      <c r="X38" s="1">
        <v>3700</v>
      </c>
      <c r="Y38" s="2">
        <v>0</v>
      </c>
      <c r="Z38" s="1">
        <f t="shared" si="8"/>
        <v>0</v>
      </c>
      <c r="AA38" s="1">
        <f t="shared" si="9"/>
        <v>0</v>
      </c>
      <c r="AH38" s="2">
        <v>0</v>
      </c>
      <c r="AM38" s="1" t="str">
        <f t="shared" si="0"/>
        <v/>
      </c>
      <c r="AN38" s="1" t="str">
        <f>IF(W34=1,V34,"")</f>
        <v/>
      </c>
      <c r="AO38" s="1" t="str">
        <f t="shared" si="12"/>
        <v/>
      </c>
      <c r="AP38" s="1" t="str">
        <f t="shared" si="13"/>
        <v/>
      </c>
    </row>
    <row r="39" spans="2:42" x14ac:dyDescent="0.25">
      <c r="B39" s="1">
        <v>169</v>
      </c>
      <c r="C39" s="1" t="s">
        <v>26</v>
      </c>
      <c r="D39" s="1">
        <v>3.1358857154846098</v>
      </c>
      <c r="E39" s="1">
        <v>5900</v>
      </c>
      <c r="F39" s="2">
        <v>0</v>
      </c>
      <c r="G39" s="1">
        <f t="shared" si="4"/>
        <v>0</v>
      </c>
      <c r="H39" s="1">
        <f t="shared" si="5"/>
        <v>0</v>
      </c>
      <c r="L39" s="1">
        <v>65</v>
      </c>
      <c r="M39" s="1" t="s">
        <v>33</v>
      </c>
      <c r="N39" s="1">
        <v>1.2564339637756301</v>
      </c>
      <c r="O39" s="1">
        <v>2800</v>
      </c>
      <c r="P39" s="2">
        <v>0</v>
      </c>
      <c r="Q39" s="1">
        <f t="shared" si="6"/>
        <v>0</v>
      </c>
      <c r="R39" s="1">
        <f t="shared" si="7"/>
        <v>0</v>
      </c>
      <c r="U39" s="1">
        <v>79</v>
      </c>
      <c r="V39" s="1" t="s">
        <v>56</v>
      </c>
      <c r="W39" s="1">
        <v>1.7510126829147299</v>
      </c>
      <c r="X39" s="1">
        <v>3800</v>
      </c>
      <c r="Y39" s="2">
        <v>0</v>
      </c>
      <c r="Z39" s="1">
        <f t="shared" si="8"/>
        <v>0</v>
      </c>
      <c r="AA39" s="1">
        <f t="shared" si="9"/>
        <v>0</v>
      </c>
      <c r="AH39" s="2">
        <v>0</v>
      </c>
      <c r="AM39" s="1" t="str">
        <f t="shared" si="0"/>
        <v/>
      </c>
      <c r="AN39" s="1" t="str">
        <f>IF(W35=1,V35,"")</f>
        <v/>
      </c>
      <c r="AO39" s="1" t="str">
        <f t="shared" si="12"/>
        <v/>
      </c>
      <c r="AP39" s="1" t="str">
        <f t="shared" si="13"/>
        <v/>
      </c>
    </row>
    <row r="40" spans="2:42" x14ac:dyDescent="0.25">
      <c r="B40" s="1">
        <v>120</v>
      </c>
      <c r="C40" s="1" t="s">
        <v>17</v>
      </c>
      <c r="D40" s="1">
        <v>3.1358857154846098</v>
      </c>
      <c r="E40" s="1">
        <v>6400</v>
      </c>
      <c r="F40" s="2">
        <v>0</v>
      </c>
      <c r="G40" s="1">
        <f t="shared" si="4"/>
        <v>0</v>
      </c>
      <c r="H40" s="1">
        <f t="shared" si="5"/>
        <v>0</v>
      </c>
      <c r="L40" s="1">
        <v>57</v>
      </c>
      <c r="M40" s="1" t="s">
        <v>32</v>
      </c>
      <c r="N40" s="1">
        <v>1.2564339637756301</v>
      </c>
      <c r="O40" s="1">
        <v>2800</v>
      </c>
      <c r="P40" s="2">
        <v>0</v>
      </c>
      <c r="Q40" s="1">
        <f t="shared" si="6"/>
        <v>0</v>
      </c>
      <c r="R40" s="1">
        <f t="shared" si="7"/>
        <v>0</v>
      </c>
      <c r="U40" s="1">
        <v>129</v>
      </c>
      <c r="V40" s="1" t="s">
        <v>58</v>
      </c>
      <c r="W40" s="1">
        <v>1.7510126829147299</v>
      </c>
      <c r="X40" s="1">
        <v>4500</v>
      </c>
      <c r="Y40" s="2">
        <v>0</v>
      </c>
      <c r="Z40" s="1">
        <f t="shared" si="8"/>
        <v>0</v>
      </c>
      <c r="AA40" s="1">
        <f t="shared" si="9"/>
        <v>0</v>
      </c>
      <c r="AH40" s="2">
        <v>0</v>
      </c>
      <c r="AM40" s="1" t="str">
        <f t="shared" si="0"/>
        <v/>
      </c>
      <c r="AN40" s="1" t="str">
        <f>IF(W36=1,V36,"")</f>
        <v/>
      </c>
      <c r="AO40" s="1" t="str">
        <f t="shared" si="12"/>
        <v/>
      </c>
      <c r="AP40" s="1" t="str">
        <f t="shared" si="13"/>
        <v/>
      </c>
    </row>
    <row r="41" spans="2:42" x14ac:dyDescent="0.25">
      <c r="B41" s="1">
        <v>22</v>
      </c>
      <c r="C41" s="1" t="s">
        <v>135</v>
      </c>
      <c r="D41" s="1">
        <v>3.1358857154846098</v>
      </c>
      <c r="E41" s="1">
        <v>5400</v>
      </c>
      <c r="F41" s="2">
        <v>0</v>
      </c>
      <c r="G41" s="1">
        <f t="shared" si="4"/>
        <v>0</v>
      </c>
      <c r="H41" s="1">
        <f t="shared" si="5"/>
        <v>0</v>
      </c>
      <c r="L41" s="1">
        <v>30</v>
      </c>
      <c r="M41" s="1" t="s">
        <v>97</v>
      </c>
      <c r="N41" s="1">
        <v>1.2564339637756301</v>
      </c>
      <c r="O41" s="1">
        <v>2800</v>
      </c>
      <c r="P41" s="2">
        <v>0</v>
      </c>
      <c r="Q41" s="1">
        <f t="shared" si="6"/>
        <v>0</v>
      </c>
      <c r="R41" s="1">
        <f t="shared" si="7"/>
        <v>0</v>
      </c>
      <c r="U41" s="1">
        <v>40</v>
      </c>
      <c r="V41" s="1" t="s">
        <v>49</v>
      </c>
      <c r="W41" s="1">
        <v>1.5120326280593801</v>
      </c>
      <c r="X41" s="1">
        <v>3000</v>
      </c>
      <c r="Y41" s="2">
        <v>0</v>
      </c>
      <c r="Z41" s="1">
        <f t="shared" si="8"/>
        <v>0</v>
      </c>
      <c r="AA41" s="1">
        <f t="shared" si="9"/>
        <v>0</v>
      </c>
      <c r="AH41" s="2">
        <v>0</v>
      </c>
      <c r="AM41" s="1" t="str">
        <f t="shared" si="0"/>
        <v/>
      </c>
      <c r="AN41" s="1" t="str">
        <f>IF(W37=1,V37,"")</f>
        <v/>
      </c>
      <c r="AO41" s="1" t="str">
        <f t="shared" si="12"/>
        <v/>
      </c>
      <c r="AP41" s="1" t="str">
        <f t="shared" si="13"/>
        <v/>
      </c>
    </row>
    <row r="42" spans="2:42" x14ac:dyDescent="0.25">
      <c r="B42" s="1">
        <v>62</v>
      </c>
      <c r="C42" s="1" t="s">
        <v>75</v>
      </c>
      <c r="D42" s="1">
        <v>3.1358857154846098</v>
      </c>
      <c r="E42" s="1">
        <v>5700</v>
      </c>
      <c r="F42" s="2">
        <v>0</v>
      </c>
      <c r="G42" s="1">
        <f t="shared" si="4"/>
        <v>0</v>
      </c>
      <c r="H42" s="1">
        <f t="shared" si="5"/>
        <v>0</v>
      </c>
      <c r="L42" s="1">
        <v>25</v>
      </c>
      <c r="M42" s="1" t="s">
        <v>98</v>
      </c>
      <c r="N42" s="1">
        <v>1.2564339637756301</v>
      </c>
      <c r="O42" s="1">
        <v>3100</v>
      </c>
      <c r="P42" s="2">
        <v>0</v>
      </c>
      <c r="Q42" s="1">
        <f t="shared" si="6"/>
        <v>0</v>
      </c>
      <c r="R42" s="1">
        <f t="shared" si="7"/>
        <v>0</v>
      </c>
      <c r="U42" s="1">
        <v>182</v>
      </c>
      <c r="V42" s="1" t="s">
        <v>116</v>
      </c>
      <c r="W42" s="1">
        <v>1.5120326280593801</v>
      </c>
      <c r="X42" s="1">
        <v>3200</v>
      </c>
      <c r="Y42" s="2">
        <v>0</v>
      </c>
      <c r="Z42" s="1">
        <f t="shared" si="8"/>
        <v>0</v>
      </c>
      <c r="AA42" s="1">
        <f t="shared" si="9"/>
        <v>0</v>
      </c>
      <c r="AH42" s="2">
        <v>0</v>
      </c>
      <c r="AM42" s="1" t="str">
        <f t="shared" si="0"/>
        <v/>
      </c>
      <c r="AN42" s="1" t="str">
        <f>IF(W38=1,V38,"")</f>
        <v/>
      </c>
      <c r="AO42" s="1" t="str">
        <f t="shared" si="12"/>
        <v/>
      </c>
      <c r="AP42" s="1" t="str">
        <f t="shared" si="13"/>
        <v/>
      </c>
    </row>
    <row r="43" spans="2:42" x14ac:dyDescent="0.25">
      <c r="B43" s="1">
        <v>49</v>
      </c>
      <c r="C43" s="1" t="s">
        <v>10</v>
      </c>
      <c r="D43" s="1">
        <v>3.1358857154846098</v>
      </c>
      <c r="E43" s="1">
        <v>3800</v>
      </c>
      <c r="F43" s="2">
        <v>0</v>
      </c>
      <c r="G43" s="1">
        <f t="shared" si="4"/>
        <v>0</v>
      </c>
      <c r="H43" s="1">
        <f t="shared" si="5"/>
        <v>0</v>
      </c>
      <c r="L43" s="1">
        <v>192</v>
      </c>
      <c r="M43" s="1" t="s">
        <v>44</v>
      </c>
      <c r="N43" s="1">
        <v>1.18133544921875</v>
      </c>
      <c r="O43" s="1">
        <v>2900</v>
      </c>
      <c r="P43" s="2">
        <v>0</v>
      </c>
      <c r="Q43" s="1">
        <f t="shared" si="6"/>
        <v>0</v>
      </c>
      <c r="R43" s="1">
        <f t="shared" si="7"/>
        <v>0</v>
      </c>
      <c r="U43" s="1">
        <v>181</v>
      </c>
      <c r="V43" s="1" t="s">
        <v>115</v>
      </c>
      <c r="W43" s="1">
        <v>1.5120326280593801</v>
      </c>
      <c r="X43" s="1">
        <v>3500</v>
      </c>
      <c r="Y43" s="2">
        <v>0</v>
      </c>
      <c r="Z43" s="1">
        <f t="shared" si="8"/>
        <v>0</v>
      </c>
      <c r="AA43" s="1">
        <f t="shared" si="9"/>
        <v>0</v>
      </c>
      <c r="AH43" s="2">
        <v>0</v>
      </c>
      <c r="AM43" s="1" t="str">
        <f t="shared" si="0"/>
        <v/>
      </c>
      <c r="AN43" s="1" t="str">
        <f>IF(W39=1,V39,"")</f>
        <v/>
      </c>
      <c r="AO43" s="1" t="str">
        <f t="shared" si="12"/>
        <v/>
      </c>
      <c r="AP43" s="1" t="str">
        <f t="shared" si="13"/>
        <v/>
      </c>
    </row>
    <row r="44" spans="2:42" x14ac:dyDescent="0.25">
      <c r="B44" s="1">
        <v>147</v>
      </c>
      <c r="C44" s="1" t="s">
        <v>76</v>
      </c>
      <c r="D44" s="1">
        <v>2.6360502243041899</v>
      </c>
      <c r="E44" s="1">
        <v>3600</v>
      </c>
      <c r="F44" s="2">
        <v>0</v>
      </c>
      <c r="G44" s="1">
        <f t="shared" si="4"/>
        <v>0</v>
      </c>
      <c r="H44" s="1">
        <f t="shared" si="5"/>
        <v>0</v>
      </c>
      <c r="L44" s="1">
        <v>144</v>
      </c>
      <c r="M44" s="1" t="s">
        <v>41</v>
      </c>
      <c r="N44" s="1">
        <v>1.0174537897109901</v>
      </c>
      <c r="O44" s="1">
        <v>2800</v>
      </c>
      <c r="P44" s="2">
        <v>0</v>
      </c>
      <c r="Q44" s="1">
        <f t="shared" si="6"/>
        <v>0</v>
      </c>
      <c r="R44" s="1">
        <f t="shared" si="7"/>
        <v>0</v>
      </c>
      <c r="U44" s="1">
        <v>155</v>
      </c>
      <c r="V44" s="1" t="s">
        <v>114</v>
      </c>
      <c r="W44" s="1">
        <v>1.5120326280593801</v>
      </c>
      <c r="X44" s="1">
        <v>4600</v>
      </c>
      <c r="Y44" s="2">
        <v>0</v>
      </c>
      <c r="Z44" s="1">
        <f t="shared" si="8"/>
        <v>0</v>
      </c>
      <c r="AA44" s="1">
        <f t="shared" si="9"/>
        <v>0</v>
      </c>
      <c r="AH44" s="2">
        <v>0</v>
      </c>
      <c r="AM44" s="1" t="str">
        <f t="shared" si="0"/>
        <v/>
      </c>
      <c r="AN44" s="1" t="str">
        <f>IF(W40=1,V40,"")</f>
        <v/>
      </c>
      <c r="AO44" s="1" t="str">
        <f t="shared" si="12"/>
        <v/>
      </c>
      <c r="AP44" s="1" t="str">
        <f t="shared" si="13"/>
        <v/>
      </c>
    </row>
    <row r="45" spans="2:42" x14ac:dyDescent="0.25">
      <c r="B45" s="1">
        <v>43</v>
      </c>
      <c r="C45" s="1" t="s">
        <v>77</v>
      </c>
      <c r="D45" s="1">
        <v>1.8686649799346899</v>
      </c>
      <c r="E45" s="1">
        <v>3000</v>
      </c>
      <c r="F45" s="2">
        <v>0</v>
      </c>
      <c r="G45" s="1">
        <f t="shared" si="4"/>
        <v>0</v>
      </c>
      <c r="H45" s="1">
        <f t="shared" si="5"/>
        <v>0</v>
      </c>
      <c r="L45" s="1">
        <v>186</v>
      </c>
      <c r="M45" s="1" t="s">
        <v>28</v>
      </c>
      <c r="N45" s="1">
        <v>1.0174537897109901</v>
      </c>
      <c r="O45" s="1">
        <v>5400</v>
      </c>
      <c r="P45" s="2">
        <v>0</v>
      </c>
      <c r="Q45" s="1">
        <f t="shared" si="6"/>
        <v>0</v>
      </c>
      <c r="R45" s="1">
        <f t="shared" si="7"/>
        <v>0</v>
      </c>
      <c r="U45" s="1">
        <v>131</v>
      </c>
      <c r="V45" t="s">
        <v>59</v>
      </c>
      <c r="W45" s="1">
        <v>1.5120326280593801</v>
      </c>
      <c r="X45" s="1">
        <v>3600</v>
      </c>
      <c r="Y45" s="2">
        <v>0</v>
      </c>
      <c r="Z45" s="1">
        <f t="shared" si="8"/>
        <v>0</v>
      </c>
      <c r="AA45" s="1">
        <f t="shared" si="9"/>
        <v>0</v>
      </c>
      <c r="AH45" s="2">
        <v>0</v>
      </c>
      <c r="AM45" s="1" t="str">
        <f t="shared" si="0"/>
        <v/>
      </c>
      <c r="AN45" s="1" t="str">
        <f>IF(W41=1,V41,"")</f>
        <v/>
      </c>
      <c r="AO45" s="1" t="str">
        <f t="shared" si="12"/>
        <v/>
      </c>
      <c r="AP45" s="1" t="str">
        <f t="shared" si="13"/>
        <v/>
      </c>
    </row>
    <row r="46" spans="2:42" x14ac:dyDescent="0.25">
      <c r="B46" s="1">
        <v>108</v>
      </c>
      <c r="C46" s="1" t="s">
        <v>81</v>
      </c>
      <c r="D46" s="1">
        <v>1.7510126829147299</v>
      </c>
      <c r="E46" s="1">
        <v>3600</v>
      </c>
      <c r="F46" s="2">
        <v>0</v>
      </c>
      <c r="G46" s="1">
        <f t="shared" si="4"/>
        <v>0</v>
      </c>
      <c r="H46" s="1">
        <f t="shared" si="5"/>
        <v>0</v>
      </c>
      <c r="L46" s="1">
        <v>175</v>
      </c>
      <c r="M46" s="1" t="s">
        <v>99</v>
      </c>
      <c r="N46" s="1">
        <v>0.79332005977630604</v>
      </c>
      <c r="O46" s="1">
        <v>3000</v>
      </c>
      <c r="P46" s="2">
        <v>0</v>
      </c>
      <c r="Q46" s="1">
        <f t="shared" si="6"/>
        <v>0</v>
      </c>
      <c r="R46" s="1">
        <f t="shared" si="7"/>
        <v>0</v>
      </c>
      <c r="U46" s="1">
        <v>145</v>
      </c>
      <c r="V46" t="s">
        <v>113</v>
      </c>
      <c r="W46" s="1">
        <v>1.5120326280593801</v>
      </c>
      <c r="X46" s="1">
        <v>3900</v>
      </c>
      <c r="Y46" s="2">
        <v>0</v>
      </c>
      <c r="Z46" s="1">
        <f t="shared" si="8"/>
        <v>0</v>
      </c>
      <c r="AA46" s="1">
        <f t="shared" si="9"/>
        <v>0</v>
      </c>
      <c r="AH46" s="2">
        <v>0</v>
      </c>
      <c r="AM46" s="1" t="str">
        <f t="shared" si="0"/>
        <v/>
      </c>
      <c r="AN46" s="1" t="str">
        <f>IF(W42=1,V42,"")</f>
        <v/>
      </c>
      <c r="AO46" s="1" t="str">
        <f t="shared" si="12"/>
        <v/>
      </c>
      <c r="AP46" s="1" t="str">
        <f t="shared" si="13"/>
        <v/>
      </c>
    </row>
    <row r="47" spans="2:42" x14ac:dyDescent="0.25">
      <c r="B47" s="1">
        <v>46</v>
      </c>
      <c r="C47" s="1" t="s">
        <v>82</v>
      </c>
      <c r="D47" s="1">
        <v>1.7510126829147299</v>
      </c>
      <c r="E47" s="1">
        <v>3300</v>
      </c>
      <c r="F47" s="2">
        <v>0</v>
      </c>
      <c r="G47" s="1">
        <f t="shared" si="4"/>
        <v>0</v>
      </c>
      <c r="H47" s="1">
        <f t="shared" si="5"/>
        <v>0</v>
      </c>
      <c r="L47" s="1">
        <v>203</v>
      </c>
      <c r="M47" t="s">
        <v>100</v>
      </c>
      <c r="N47" s="1">
        <v>0.67488646507263095</v>
      </c>
      <c r="O47" s="1">
        <v>2700</v>
      </c>
      <c r="P47" s="2">
        <v>0</v>
      </c>
      <c r="Q47" s="1">
        <f t="shared" si="6"/>
        <v>0</v>
      </c>
      <c r="R47" s="1">
        <f t="shared" si="7"/>
        <v>0</v>
      </c>
      <c r="U47" s="1">
        <v>149</v>
      </c>
      <c r="V47" t="s">
        <v>122</v>
      </c>
      <c r="W47" s="1">
        <v>1.4998675584793</v>
      </c>
      <c r="X47" s="1">
        <v>3900</v>
      </c>
      <c r="Y47" s="2">
        <v>0</v>
      </c>
      <c r="Z47" s="1">
        <f t="shared" si="8"/>
        <v>0</v>
      </c>
      <c r="AA47" s="1">
        <f t="shared" si="9"/>
        <v>0</v>
      </c>
      <c r="AH47" s="2">
        <v>0</v>
      </c>
      <c r="AM47" s="1" t="str">
        <f t="shared" si="0"/>
        <v/>
      </c>
      <c r="AN47" s="1" t="str">
        <f>IF(W43=1,V43,"")</f>
        <v/>
      </c>
      <c r="AO47" s="1" t="str">
        <f t="shared" si="12"/>
        <v/>
      </c>
      <c r="AP47" s="1" t="str">
        <f t="shared" si="13"/>
        <v/>
      </c>
    </row>
    <row r="48" spans="2:42" x14ac:dyDescent="0.25">
      <c r="B48" s="1">
        <v>69</v>
      </c>
      <c r="C48" s="1" t="s">
        <v>83</v>
      </c>
      <c r="D48" s="1">
        <v>1.7510126829147299</v>
      </c>
      <c r="E48" s="1">
        <v>4700</v>
      </c>
      <c r="F48" s="2">
        <v>0</v>
      </c>
      <c r="G48" s="1">
        <f t="shared" si="4"/>
        <v>0</v>
      </c>
      <c r="H48" s="1">
        <f t="shared" si="5"/>
        <v>0</v>
      </c>
      <c r="L48" s="1">
        <v>137</v>
      </c>
      <c r="M48" s="1" t="s">
        <v>101</v>
      </c>
      <c r="N48" s="1">
        <v>0.49927207827567999</v>
      </c>
      <c r="O48" s="1">
        <v>2700</v>
      </c>
      <c r="P48" s="2">
        <v>0</v>
      </c>
      <c r="Q48" s="1">
        <f t="shared" si="6"/>
        <v>0</v>
      </c>
      <c r="R48" s="1">
        <f t="shared" si="7"/>
        <v>0</v>
      </c>
      <c r="U48" s="1">
        <v>4</v>
      </c>
      <c r="V48" t="s">
        <v>153</v>
      </c>
      <c r="W48" s="1">
        <v>1.4998675584793</v>
      </c>
      <c r="X48">
        <v>2800</v>
      </c>
      <c r="Y48" s="2">
        <v>0</v>
      </c>
      <c r="Z48" s="1">
        <f t="shared" si="8"/>
        <v>0</v>
      </c>
      <c r="AA48" s="1">
        <f t="shared" si="9"/>
        <v>0</v>
      </c>
      <c r="AH48" s="2">
        <v>0</v>
      </c>
      <c r="AM48" s="1" t="str">
        <f t="shared" si="0"/>
        <v/>
      </c>
      <c r="AN48" s="1" t="str">
        <f>IF(W44=1,V44,"")</f>
        <v/>
      </c>
      <c r="AO48" s="1" t="str">
        <f t="shared" si="12"/>
        <v/>
      </c>
      <c r="AP48" s="1" t="str">
        <f t="shared" si="13"/>
        <v/>
      </c>
    </row>
    <row r="49" spans="2:42" x14ac:dyDescent="0.25">
      <c r="B49" s="1">
        <v>134</v>
      </c>
      <c r="C49" s="1" t="s">
        <v>78</v>
      </c>
      <c r="D49" s="1">
        <v>1.7510126829147299</v>
      </c>
      <c r="E49" s="1">
        <v>4200</v>
      </c>
      <c r="F49" s="2">
        <v>0</v>
      </c>
      <c r="G49" s="1">
        <f t="shared" si="4"/>
        <v>0</v>
      </c>
      <c r="H49" s="1">
        <f t="shared" si="5"/>
        <v>0</v>
      </c>
      <c r="L49" s="1">
        <v>201</v>
      </c>
      <c r="M49" s="1" t="s">
        <v>102</v>
      </c>
      <c r="N49" s="1">
        <v>-1.24316811561584E-2</v>
      </c>
      <c r="O49" s="1">
        <v>3500</v>
      </c>
      <c r="P49" s="2">
        <v>0</v>
      </c>
      <c r="Q49" s="1">
        <f t="shared" si="6"/>
        <v>0</v>
      </c>
      <c r="R49" s="1">
        <f t="shared" si="7"/>
        <v>0</v>
      </c>
      <c r="U49" s="1">
        <v>76</v>
      </c>
      <c r="V49" t="s">
        <v>118</v>
      </c>
      <c r="W49" s="1">
        <v>1.4998675584793</v>
      </c>
      <c r="X49" s="1">
        <v>3200</v>
      </c>
      <c r="Y49" s="2">
        <v>0</v>
      </c>
      <c r="Z49" s="1">
        <f t="shared" si="8"/>
        <v>0</v>
      </c>
      <c r="AA49" s="1">
        <f t="shared" si="9"/>
        <v>0</v>
      </c>
      <c r="AH49" s="2">
        <v>0</v>
      </c>
      <c r="AM49" s="1" t="str">
        <f t="shared" si="0"/>
        <v/>
      </c>
      <c r="AN49" s="1" t="str">
        <f>IF(W45=1,V45,"")</f>
        <v/>
      </c>
      <c r="AO49" s="1" t="str">
        <f t="shared" si="12"/>
        <v/>
      </c>
      <c r="AP49" s="1" t="str">
        <f t="shared" si="13"/>
        <v/>
      </c>
    </row>
    <row r="50" spans="2:42" x14ac:dyDescent="0.25">
      <c r="B50" s="1">
        <v>172</v>
      </c>
      <c r="C50" s="1" t="s">
        <v>79</v>
      </c>
      <c r="D50" s="1">
        <v>1.7510126829147299</v>
      </c>
      <c r="E50" s="1">
        <v>4900</v>
      </c>
      <c r="F50" s="2">
        <v>0</v>
      </c>
      <c r="G50" s="1">
        <f t="shared" si="4"/>
        <v>0</v>
      </c>
      <c r="H50" s="1">
        <f t="shared" si="5"/>
        <v>0</v>
      </c>
      <c r="L50" s="1">
        <v>202</v>
      </c>
      <c r="M50" s="1" t="s">
        <v>102</v>
      </c>
      <c r="N50" s="1">
        <v>-1.24316811561584E-2</v>
      </c>
      <c r="O50" s="1">
        <v>3500</v>
      </c>
      <c r="P50" s="2">
        <v>0</v>
      </c>
      <c r="Q50" s="1">
        <f t="shared" si="6"/>
        <v>0</v>
      </c>
      <c r="R50" s="1">
        <f t="shared" si="7"/>
        <v>0</v>
      </c>
      <c r="U50" s="1">
        <v>139</v>
      </c>
      <c r="V50" t="s">
        <v>121</v>
      </c>
      <c r="W50" s="1">
        <v>1.4998675584793</v>
      </c>
      <c r="X50" s="1">
        <v>3100</v>
      </c>
      <c r="Y50" s="2">
        <v>0</v>
      </c>
      <c r="Z50" s="1">
        <f t="shared" si="8"/>
        <v>0</v>
      </c>
      <c r="AA50" s="1">
        <f t="shared" si="9"/>
        <v>0</v>
      </c>
      <c r="AH50" s="2">
        <v>0</v>
      </c>
      <c r="AM50" s="1" t="str">
        <f t="shared" si="0"/>
        <v/>
      </c>
      <c r="AN50" s="1" t="str">
        <f>IF(W46=1,V46,"")</f>
        <v/>
      </c>
      <c r="AO50" s="1" t="str">
        <f t="shared" si="12"/>
        <v/>
      </c>
      <c r="AP50" s="1" t="str">
        <f t="shared" si="13"/>
        <v/>
      </c>
    </row>
    <row r="51" spans="2:42" x14ac:dyDescent="0.25">
      <c r="B51" s="1">
        <v>98</v>
      </c>
      <c r="C51" s="1" t="s">
        <v>80</v>
      </c>
      <c r="D51" s="1">
        <v>1.7510126829147299</v>
      </c>
      <c r="E51" s="1">
        <v>4200</v>
      </c>
      <c r="F51" s="2">
        <v>0</v>
      </c>
      <c r="G51" s="1">
        <f t="shared" si="4"/>
        <v>0</v>
      </c>
      <c r="H51" s="1">
        <f t="shared" si="5"/>
        <v>0</v>
      </c>
      <c r="P51" s="2">
        <v>0</v>
      </c>
      <c r="U51" s="1">
        <v>164</v>
      </c>
      <c r="V51" t="s">
        <v>119</v>
      </c>
      <c r="W51" s="1">
        <v>1.4998675584793</v>
      </c>
      <c r="X51" s="1">
        <v>2800</v>
      </c>
      <c r="Y51" s="2">
        <v>0</v>
      </c>
      <c r="Z51" s="1">
        <f t="shared" si="8"/>
        <v>0</v>
      </c>
      <c r="AA51" s="1">
        <f t="shared" si="9"/>
        <v>0</v>
      </c>
      <c r="AH51" s="2">
        <v>0</v>
      </c>
    </row>
    <row r="52" spans="2:42" x14ac:dyDescent="0.25">
      <c r="B52" s="1">
        <v>112</v>
      </c>
      <c r="C52" s="1" t="s">
        <v>84</v>
      </c>
      <c r="D52" s="1">
        <v>1.70345306396484</v>
      </c>
      <c r="E52" s="1">
        <v>4800</v>
      </c>
      <c r="F52" s="2">
        <v>0</v>
      </c>
      <c r="G52" s="1">
        <f t="shared" si="4"/>
        <v>0</v>
      </c>
      <c r="H52" s="1">
        <f t="shared" si="5"/>
        <v>0</v>
      </c>
      <c r="P52" s="2">
        <v>0</v>
      </c>
      <c r="U52" s="1">
        <v>103</v>
      </c>
      <c r="V52" t="s">
        <v>117</v>
      </c>
      <c r="W52" s="1">
        <v>1.4998675584793</v>
      </c>
      <c r="X52" s="1">
        <v>2800</v>
      </c>
      <c r="Y52" s="2">
        <v>0</v>
      </c>
      <c r="Z52" s="1">
        <f t="shared" ref="Z52:Z53" si="14">Y52*W52</f>
        <v>0</v>
      </c>
      <c r="AA52" s="1">
        <f t="shared" ref="AA52:AA53" si="15">Y52*X52</f>
        <v>0</v>
      </c>
      <c r="AH52" s="2">
        <v>0</v>
      </c>
    </row>
    <row r="53" spans="2:42" x14ac:dyDescent="0.25">
      <c r="B53" s="1">
        <v>111</v>
      </c>
      <c r="C53" s="1" t="s">
        <v>85</v>
      </c>
      <c r="D53" s="1">
        <v>1.5120326280593801</v>
      </c>
      <c r="E53" s="1">
        <v>2900</v>
      </c>
      <c r="F53" s="2">
        <v>0</v>
      </c>
      <c r="G53" s="1">
        <f t="shared" si="4"/>
        <v>0</v>
      </c>
      <c r="H53" s="1">
        <f t="shared" si="5"/>
        <v>0</v>
      </c>
      <c r="P53" s="2">
        <v>0</v>
      </c>
      <c r="U53" s="1">
        <v>51</v>
      </c>
      <c r="V53" s="1" t="s">
        <v>120</v>
      </c>
      <c r="W53" s="1">
        <v>1.4998675584793</v>
      </c>
      <c r="X53" s="1">
        <v>3300</v>
      </c>
      <c r="Y53" s="2">
        <v>0</v>
      </c>
      <c r="Z53" s="1">
        <f t="shared" si="14"/>
        <v>0</v>
      </c>
      <c r="AA53" s="1">
        <f t="shared" si="15"/>
        <v>0</v>
      </c>
      <c r="AH53" s="2">
        <v>0</v>
      </c>
    </row>
    <row r="54" spans="2:42" x14ac:dyDescent="0.25">
      <c r="B54" s="1">
        <v>77</v>
      </c>
      <c r="C54" s="1" t="s">
        <v>160</v>
      </c>
      <c r="D54" s="1">
        <v>1.2997689247131301</v>
      </c>
      <c r="E54" s="1">
        <v>4400</v>
      </c>
      <c r="F54" s="2">
        <v>0</v>
      </c>
      <c r="G54" s="1">
        <f t="shared" si="4"/>
        <v>0</v>
      </c>
      <c r="H54" s="1">
        <f t="shared" si="5"/>
        <v>0</v>
      </c>
      <c r="P54" s="2">
        <v>0</v>
      </c>
      <c r="U54" s="1">
        <v>2</v>
      </c>
      <c r="V54" s="1" t="s">
        <v>155</v>
      </c>
      <c r="W54" s="1">
        <v>1.4998675584793</v>
      </c>
      <c r="X54" s="1">
        <v>3000</v>
      </c>
      <c r="Y54" s="2">
        <v>0</v>
      </c>
      <c r="Z54" s="1">
        <f t="shared" ref="Z54" si="16">Y54*W54</f>
        <v>0</v>
      </c>
      <c r="AA54" s="1">
        <f t="shared" ref="AA54" si="17">Y54*X54</f>
        <v>0</v>
      </c>
      <c r="AH54" s="2">
        <v>0</v>
      </c>
    </row>
    <row r="55" spans="2:42" x14ac:dyDescent="0.25">
      <c r="B55" s="1">
        <v>170</v>
      </c>
      <c r="C55" s="1" t="s">
        <v>161</v>
      </c>
      <c r="D55" s="1">
        <v>1.2997689247131301</v>
      </c>
      <c r="E55" s="1">
        <v>2900</v>
      </c>
      <c r="F55" s="2">
        <v>0</v>
      </c>
      <c r="G55" s="1">
        <f t="shared" ref="G55" si="18">F55*D55</f>
        <v>0</v>
      </c>
      <c r="H55" s="1">
        <f t="shared" ref="H55" si="19">F55*E55</f>
        <v>0</v>
      </c>
      <c r="P55" s="2">
        <v>0</v>
      </c>
      <c r="AH55" s="2">
        <v>0</v>
      </c>
    </row>
  </sheetData>
  <sortState ref="Z7:AG46">
    <sortCondition descending="1" ref="AA6"/>
  </sortState>
  <conditionalFormatting sqref="X1:X1048576">
    <cfRule type="cellIs" dxfId="2" priority="3" operator="equal">
      <formula>3600</formula>
    </cfRule>
  </conditionalFormatting>
  <conditionalFormatting sqref="O1:O1048576">
    <cfRule type="cellIs" dxfId="1" priority="2" operator="equal">
      <formula>3600</formula>
    </cfRule>
  </conditionalFormatting>
  <conditionalFormatting sqref="E1:E1048576">
    <cfRule type="cellIs" dxfId="0" priority="1" operator="equal">
      <formula>3600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Fang</dc:creator>
  <cp:lastModifiedBy>tyu</cp:lastModifiedBy>
  <dcterms:created xsi:type="dcterms:W3CDTF">2017-10-24T13:50:51Z</dcterms:created>
  <dcterms:modified xsi:type="dcterms:W3CDTF">2018-03-31T01:37:43Z</dcterms:modified>
</cp:coreProperties>
</file>